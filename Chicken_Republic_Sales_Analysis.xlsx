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Y\Downloads\"/>
    </mc:Choice>
  </mc:AlternateContent>
  <xr:revisionPtr revIDLastSave="0" documentId="13_ncr:1_{AE05ED1D-C162-45D2-A6EB-7DB065F90F3C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_Data" sheetId="1" r:id="rId1"/>
    <sheet name="Cleaned_Data" sheetId="2" r:id="rId2"/>
    <sheet name="Calculations" sheetId="3" r:id="rId3"/>
    <sheet name="Pivot_Analysis" sheetId="4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<sst xmlns="http://schemas.openxmlformats.org/spreadsheetml/2006/main" count="3088" uniqueCount="60">
  <si>
    <t>Date</t>
  </si>
  <si>
    <t>Location</t>
  </si>
  <si>
    <t>Product Category</t>
  </si>
  <si>
    <t>Product</t>
  </si>
  <si>
    <t>Quantity Sold</t>
  </si>
  <si>
    <t>Unit Price (NGN)</t>
  </si>
  <si>
    <t>Total Sales (NGN)</t>
  </si>
  <si>
    <t>Profit (NGN)</t>
  </si>
  <si>
    <t>Ajah</t>
  </si>
  <si>
    <t>Surulere</t>
  </si>
  <si>
    <t>Lekki</t>
  </si>
  <si>
    <t>Victoria Island</t>
  </si>
  <si>
    <t>Yaba</t>
  </si>
  <si>
    <t>Ikeja</t>
  </si>
  <si>
    <t>Meals</t>
  </si>
  <si>
    <t>Drinks</t>
  </si>
  <si>
    <t>Snacks</t>
  </si>
  <si>
    <t>Desserts</t>
  </si>
  <si>
    <t>Spicy Rice &amp; Chicken</t>
  </si>
  <si>
    <t>Jollof Rice Combo</t>
  </si>
  <si>
    <t>Refuel Regular</t>
  </si>
  <si>
    <t>Refuel Max</t>
  </si>
  <si>
    <t>Coke</t>
  </si>
  <si>
    <t>Water</t>
  </si>
  <si>
    <t>Fanta</t>
  </si>
  <si>
    <t>Sausage Roll</t>
  </si>
  <si>
    <t>Chicken Pie</t>
  </si>
  <si>
    <t>Cake Slice</t>
  </si>
  <si>
    <t>Ice Cream</t>
  </si>
  <si>
    <t>Meat Pie</t>
  </si>
  <si>
    <t>Juice</t>
  </si>
  <si>
    <t>Total Revenue</t>
  </si>
  <si>
    <t>Total Profit</t>
  </si>
  <si>
    <t>Total Units Sold</t>
  </si>
  <si>
    <t>Total Transactions</t>
  </si>
  <si>
    <t>Average Transaction value</t>
  </si>
  <si>
    <t>Profit Margin %</t>
  </si>
  <si>
    <t>Row Labels</t>
  </si>
  <si>
    <t>Grand Total</t>
  </si>
  <si>
    <t>Sum of Total Sales (NGN)</t>
  </si>
  <si>
    <t>Sum of Quantity Sold</t>
  </si>
  <si>
    <t>Sum of Profit (NGN)</t>
  </si>
  <si>
    <t>Count of Date</t>
  </si>
  <si>
    <t>Jan</t>
  </si>
  <si>
    <t>Feb</t>
  </si>
  <si>
    <t>Mar</t>
  </si>
  <si>
    <t>Apr</t>
  </si>
  <si>
    <t>May</t>
  </si>
  <si>
    <t>Jun</t>
  </si>
  <si>
    <t>2024</t>
  </si>
  <si>
    <t>Day of the Week</t>
  </si>
  <si>
    <t>Sunday</t>
  </si>
  <si>
    <t>Monday</t>
  </si>
  <si>
    <t>Tuesday</t>
  </si>
  <si>
    <t>Wednesday</t>
  </si>
  <si>
    <t>Thursday</t>
  </si>
  <si>
    <t>Friday</t>
  </si>
  <si>
    <t>Saturday</t>
  </si>
  <si>
    <t>Month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</si>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</sst>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\ hh:mm:ss"/>
    <numFmt numFmtId="168" formatCode="_-[$₦-470]* #,##0.00_-;\-[$₦-470]* #,##0.00_-;_-[$₦-470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49" fontId="0" fillId="0" borderId="0" xfId="0" applyNumberFormat="1"/>
    <xf numFmtId="168" fontId="1" fillId="0" borderId="2" xfId="0" applyNumberFormat="1" applyFont="1" applyBorder="1" applyAlignment="1">
      <alignment horizontal="center" vertical="top"/>
    </xf>
    <xf numFmtId="168" fontId="0" fillId="0" borderId="0" xfId="0" applyNumberFormat="1"/>
    <xf numFmtId="0" fontId="0" fillId="0" borderId="0" xfId="0" applyAlignme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 indent="1"/>
    </xf>
    <xf numFmtId="168" fontId="0" fillId="0" borderId="0" xfId="0" quotePrefix="1" applyNumberFormat="1"/>
    <xf numFmtId="0" fontId="1" fillId="0" borderId="2" xfId="1" applyNumberFormat="1" applyFont="1" applyBorder="1" applyAlignment="1">
      <alignment horizontal="center" vertical="top"/>
    </xf>
    <xf numFmtId="0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14">
    <dxf>
      <numFmt numFmtId="0" formatCode="General"/>
    </dxf>
    <dxf>
      <numFmt numFmtId="168" formatCode="_-[$₦-470]* #,##0.00_-;\-[$₦-470]* #,##0.00_-;_-[$₦-470]* &quot;-&quot;??_-;_-@_-"/>
    </dxf>
    <dxf>
      <numFmt numFmtId="168" formatCode="_-[$₦-470]* #,##0.00_-;\-[$₦-470]* #,##0.00_-;_-[$₦-470]* &quot;-&quot;??_-;_-@_-"/>
    </dxf>
    <dxf>
      <numFmt numFmtId="168" formatCode="_-[$₦-470]* #,##0.00_-;\-[$₦-470]* #,##0.00_-;_-[$₦-470]* &quot;-&quot;??_-;_-@_-"/>
    </dxf>
    <dxf>
      <numFmt numFmtId="168" formatCode="_-[$₦-470]* #,##0.00_-;\-[$₦-470]* #,##0.00_-;_-[$₦-470]* &quot;-&quot;??_-;_-@_-"/>
    </dxf>
    <dxf>
      <numFmt numFmtId="168" formatCode="_-[$₦-470]* #,##0.00_-;\-[$₦-470]* #,##0.00_-;_-[$₦-470]* &quot;-&quot;??_-;_-@_-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Y" refreshedDate="46288.774556944445" createdVersion="7" refreshedVersion="7" minRefreshableVersion="3" recordCount="500" xr:uid="{1DE8BC50-6009-4B7D-8EB6-4EF6CADAA246}">
  <cacheSource type="worksheet">
    <worksheetSource name="SalesData"/>
  </cacheSource>
  <cacheFields count="10">
    <cacheField name="Date" numFmtId="14">
      <sharedItems containsSemiMixedTypes="0" containsNonDate="0" containsDate="1" containsString="0" minDate="2024-01-01T00:00:00" maxDate="2024-06-22T00:00:00" count="17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</sharedItems>
      <fieldGroup par="9" base="0">
        <rangePr groupBy="months" startDate="2024-01-01T00:00:00" endDate="2024-06-2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2/2024"/>
        </groupItems>
      </fieldGroup>
    </cacheField>
    <cacheField name="Location" numFmtId="49">
      <sharedItems count="6">
        <s v="Ajah"/>
        <s v="Surulere"/>
        <s v="Lekki"/>
        <s v="Victoria Island"/>
        <s v="Yaba"/>
        <s v="Ikeja"/>
      </sharedItems>
    </cacheField>
    <cacheField name="Product Category" numFmtId="49">
      <sharedItems count="4">
        <s v="Meals"/>
        <s v="Drinks"/>
        <s v="Snacks"/>
        <s v="Desserts"/>
      </sharedItems>
    </cacheField>
    <cacheField name="Product" numFmtId="49">
      <sharedItems count="13">
        <s v="Spicy Rice &amp; Chicken"/>
        <s v="Jollof Rice Combo"/>
        <s v="Refuel Regular"/>
        <s v="Refuel Max"/>
        <s v="Coke"/>
        <s v="Water"/>
        <s v="Fanta"/>
        <s v="Sausage Roll"/>
        <s v="Chicken Pie"/>
        <s v="Cake Slice"/>
        <s v="Ice Cream"/>
        <s v="Meat Pie"/>
        <s v="Juice"/>
      </sharedItems>
    </cacheField>
    <cacheField name="Quantity Sold" numFmtId="2">
      <sharedItems containsSemiMixedTypes="0" containsString="0" containsNumber="1" containsInteger="1" minValue="1" maxValue="10"/>
    </cacheField>
    <cacheField name="Unit Price (NGN)" numFmtId="168">
      <sharedItems containsSemiMixedTypes="0" containsString="0" containsNumber="1" minValue="502.17" maxValue="2494.5300000000002"/>
    </cacheField>
    <cacheField name="Total Sales (NGN)" numFmtId="168">
      <sharedItems containsSemiMixedTypes="0" containsString="0" containsNumber="1" minValue="507.09" maxValue="24945.3"/>
    </cacheField>
    <cacheField name="Profit (NGN)" numFmtId="168">
      <sharedItems containsSemiMixedTypes="0" containsString="0" containsNumber="1" minValue="74.31" maxValue="5438.25"/>
    </cacheField>
    <cacheField name="Day of the Week" numFmtId="168">
      <sharedItems count="7">
        <s v="Monday"/>
        <s v="Tuesday"/>
        <s v="Wednesday"/>
        <s v="Thursday"/>
        <s v="Friday"/>
        <s v="Saturday"/>
        <s v="Sunday"/>
      </sharedItems>
    </cacheField>
    <cacheField name="Years" numFmtId="0" databaseField="0">
      <fieldGroup base="0">
        <rangePr groupBy="years" startDate="2024-01-01T00:00:00" endDate="2024-06-22T00:00:00"/>
        <groupItems count="3">
          <s v="&lt;1/1/2024"/>
          <s v="2024"/>
          <s v="&gt;6/2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n v="4"/>
    <n v="946.42"/>
    <n v="3785.68"/>
    <n v="796.77"/>
    <x v="0"/>
  </r>
  <r>
    <x v="1"/>
    <x v="1"/>
    <x v="0"/>
    <x v="1"/>
    <n v="1"/>
    <n v="559.59"/>
    <n v="559.59"/>
    <n v="74.31"/>
    <x v="1"/>
  </r>
  <r>
    <x v="1"/>
    <x v="2"/>
    <x v="0"/>
    <x v="2"/>
    <n v="9"/>
    <n v="1339.04"/>
    <n v="12051.36"/>
    <n v="2017.17"/>
    <x v="1"/>
  </r>
  <r>
    <x v="1"/>
    <x v="2"/>
    <x v="0"/>
    <x v="2"/>
    <n v="7"/>
    <n v="1180.5"/>
    <n v="8263.5"/>
    <n v="1019.07"/>
    <x v="1"/>
  </r>
  <r>
    <x v="1"/>
    <x v="1"/>
    <x v="0"/>
    <x v="3"/>
    <n v="7"/>
    <n v="693.43"/>
    <n v="4854.01"/>
    <n v="1102.46"/>
    <x v="1"/>
  </r>
  <r>
    <x v="1"/>
    <x v="3"/>
    <x v="1"/>
    <x v="4"/>
    <n v="8"/>
    <n v="1572.46"/>
    <n v="12579.68"/>
    <n v="3094.19"/>
    <x v="1"/>
  </r>
  <r>
    <x v="2"/>
    <x v="0"/>
    <x v="1"/>
    <x v="5"/>
    <n v="10"/>
    <n v="884.58"/>
    <n v="8845.7999999999993"/>
    <n v="976.87"/>
    <x v="2"/>
  </r>
  <r>
    <x v="3"/>
    <x v="3"/>
    <x v="1"/>
    <x v="4"/>
    <n v="4"/>
    <n v="2232.9699999999998"/>
    <n v="8931.8799999999992"/>
    <n v="1402.47"/>
    <x v="3"/>
  </r>
  <r>
    <x v="3"/>
    <x v="0"/>
    <x v="1"/>
    <x v="6"/>
    <n v="6"/>
    <n v="1210.54"/>
    <n v="7263.24"/>
    <n v="1456.47"/>
    <x v="3"/>
  </r>
  <r>
    <x v="4"/>
    <x v="0"/>
    <x v="2"/>
    <x v="7"/>
    <n v="4"/>
    <n v="826.8"/>
    <n v="3307.2"/>
    <n v="518.96"/>
    <x v="4"/>
  </r>
  <r>
    <x v="5"/>
    <x v="4"/>
    <x v="2"/>
    <x v="7"/>
    <n v="6"/>
    <n v="2185.6999999999998"/>
    <n v="13114.2"/>
    <n v="2837.91"/>
    <x v="5"/>
  </r>
  <r>
    <x v="5"/>
    <x v="1"/>
    <x v="0"/>
    <x v="0"/>
    <n v="7"/>
    <n v="1035.48"/>
    <n v="7248.36"/>
    <n v="954.23"/>
    <x v="5"/>
  </r>
  <r>
    <x v="5"/>
    <x v="3"/>
    <x v="1"/>
    <x v="6"/>
    <n v="8"/>
    <n v="1291.26"/>
    <n v="10330.08"/>
    <n v="2450.11"/>
    <x v="5"/>
  </r>
  <r>
    <x v="5"/>
    <x v="2"/>
    <x v="2"/>
    <x v="8"/>
    <n v="3"/>
    <n v="993.26"/>
    <n v="2979.78"/>
    <n v="548.89"/>
    <x v="5"/>
  </r>
  <r>
    <x v="5"/>
    <x v="1"/>
    <x v="3"/>
    <x v="9"/>
    <n v="6"/>
    <n v="938.64"/>
    <n v="5631.84"/>
    <n v="1405.88"/>
    <x v="5"/>
  </r>
  <r>
    <x v="6"/>
    <x v="0"/>
    <x v="0"/>
    <x v="3"/>
    <n v="2"/>
    <n v="805.68"/>
    <n v="1611.36"/>
    <n v="199.8"/>
    <x v="6"/>
  </r>
  <r>
    <x v="6"/>
    <x v="1"/>
    <x v="3"/>
    <x v="10"/>
    <n v="7"/>
    <n v="1263.24"/>
    <n v="8842.68"/>
    <n v="2205.5300000000002"/>
    <x v="6"/>
  </r>
  <r>
    <x v="6"/>
    <x v="2"/>
    <x v="1"/>
    <x v="4"/>
    <n v="2"/>
    <n v="1863.42"/>
    <n v="3726.84"/>
    <n v="672.86"/>
    <x v="6"/>
  </r>
  <r>
    <x v="6"/>
    <x v="0"/>
    <x v="1"/>
    <x v="4"/>
    <n v="5"/>
    <n v="1369.53"/>
    <n v="6847.65"/>
    <n v="1150.81"/>
    <x v="6"/>
  </r>
  <r>
    <x v="7"/>
    <x v="0"/>
    <x v="2"/>
    <x v="7"/>
    <n v="2"/>
    <n v="2241.04"/>
    <n v="4482.08"/>
    <n v="648.86"/>
    <x v="0"/>
  </r>
  <r>
    <x v="7"/>
    <x v="1"/>
    <x v="2"/>
    <x v="11"/>
    <n v="6"/>
    <n v="2025.02"/>
    <n v="12150.12"/>
    <n v="2198.04"/>
    <x v="0"/>
  </r>
  <r>
    <x v="7"/>
    <x v="2"/>
    <x v="0"/>
    <x v="0"/>
    <n v="8"/>
    <n v="538.95000000000005"/>
    <n v="4311.6000000000004"/>
    <n v="1032.05"/>
    <x v="0"/>
  </r>
  <r>
    <x v="8"/>
    <x v="3"/>
    <x v="0"/>
    <x v="2"/>
    <n v="10"/>
    <n v="2393.9"/>
    <n v="23939"/>
    <n v="2701.47"/>
    <x v="1"/>
  </r>
  <r>
    <x v="8"/>
    <x v="4"/>
    <x v="0"/>
    <x v="2"/>
    <n v="3"/>
    <n v="1819.5"/>
    <n v="5458.5"/>
    <n v="1321.11"/>
    <x v="1"/>
  </r>
  <r>
    <x v="9"/>
    <x v="0"/>
    <x v="3"/>
    <x v="10"/>
    <n v="9"/>
    <n v="2010.53"/>
    <n v="18094.77"/>
    <n v="3681.93"/>
    <x v="2"/>
  </r>
  <r>
    <x v="9"/>
    <x v="5"/>
    <x v="1"/>
    <x v="12"/>
    <n v="6"/>
    <n v="1376.2"/>
    <n v="8257.2000000000007"/>
    <n v="1466.78"/>
    <x v="2"/>
  </r>
  <r>
    <x v="9"/>
    <x v="4"/>
    <x v="2"/>
    <x v="11"/>
    <n v="2"/>
    <n v="1176.17"/>
    <n v="2352.34"/>
    <n v="442.82"/>
    <x v="2"/>
  </r>
  <r>
    <x v="10"/>
    <x v="5"/>
    <x v="2"/>
    <x v="11"/>
    <n v="2"/>
    <n v="1915.68"/>
    <n v="3831.36"/>
    <n v="416.97"/>
    <x v="3"/>
  </r>
  <r>
    <x v="10"/>
    <x v="3"/>
    <x v="0"/>
    <x v="0"/>
    <n v="2"/>
    <n v="1528.31"/>
    <n v="3056.62"/>
    <n v="433.34"/>
    <x v="3"/>
  </r>
  <r>
    <x v="10"/>
    <x v="1"/>
    <x v="2"/>
    <x v="7"/>
    <n v="3"/>
    <n v="1946.71"/>
    <n v="5840.13"/>
    <n v="1357"/>
    <x v="3"/>
  </r>
  <r>
    <x v="10"/>
    <x v="5"/>
    <x v="3"/>
    <x v="10"/>
    <n v="8"/>
    <n v="2114.9899999999998"/>
    <n v="16919.919999999998"/>
    <n v="2175.25"/>
    <x v="3"/>
  </r>
  <r>
    <x v="10"/>
    <x v="5"/>
    <x v="3"/>
    <x v="9"/>
    <n v="7"/>
    <n v="1322.2"/>
    <n v="9255.4"/>
    <n v="2124.81"/>
    <x v="3"/>
  </r>
  <r>
    <x v="11"/>
    <x v="4"/>
    <x v="0"/>
    <x v="1"/>
    <n v="6"/>
    <n v="2101.19"/>
    <n v="12607.14"/>
    <n v="1467.35"/>
    <x v="4"/>
  </r>
  <r>
    <x v="12"/>
    <x v="5"/>
    <x v="3"/>
    <x v="10"/>
    <n v="7"/>
    <n v="866.98"/>
    <n v="6068.86"/>
    <n v="1028.03"/>
    <x v="5"/>
  </r>
  <r>
    <x v="12"/>
    <x v="5"/>
    <x v="3"/>
    <x v="10"/>
    <n v="1"/>
    <n v="1804.29"/>
    <n v="1804.29"/>
    <n v="326.74"/>
    <x v="5"/>
  </r>
  <r>
    <x v="13"/>
    <x v="3"/>
    <x v="2"/>
    <x v="11"/>
    <n v="7"/>
    <n v="1471.28"/>
    <n v="10298.959999999999"/>
    <n v="1360.1"/>
    <x v="6"/>
  </r>
  <r>
    <x v="14"/>
    <x v="3"/>
    <x v="2"/>
    <x v="8"/>
    <n v="1"/>
    <n v="2470.62"/>
    <n v="2470.62"/>
    <n v="345.34"/>
    <x v="0"/>
  </r>
  <r>
    <x v="15"/>
    <x v="5"/>
    <x v="3"/>
    <x v="9"/>
    <n v="3"/>
    <n v="879.8"/>
    <n v="2639.4"/>
    <n v="350.13"/>
    <x v="1"/>
  </r>
  <r>
    <x v="15"/>
    <x v="1"/>
    <x v="0"/>
    <x v="0"/>
    <n v="1"/>
    <n v="600.28"/>
    <n v="600.28"/>
    <n v="102.96"/>
    <x v="1"/>
  </r>
  <r>
    <x v="15"/>
    <x v="1"/>
    <x v="2"/>
    <x v="11"/>
    <n v="9"/>
    <n v="660.22"/>
    <n v="5941.98"/>
    <n v="759.82"/>
    <x v="1"/>
  </r>
  <r>
    <x v="16"/>
    <x v="1"/>
    <x v="2"/>
    <x v="8"/>
    <n v="2"/>
    <n v="2383.19"/>
    <n v="4766.38"/>
    <n v="883.93"/>
    <x v="2"/>
  </r>
  <r>
    <x v="17"/>
    <x v="2"/>
    <x v="0"/>
    <x v="3"/>
    <n v="7"/>
    <n v="1814.75"/>
    <n v="12703.25"/>
    <n v="2347.36"/>
    <x v="3"/>
  </r>
  <r>
    <x v="17"/>
    <x v="0"/>
    <x v="1"/>
    <x v="6"/>
    <n v="6"/>
    <n v="977.37"/>
    <n v="5864.22"/>
    <n v="934.57"/>
    <x v="3"/>
  </r>
  <r>
    <x v="17"/>
    <x v="5"/>
    <x v="1"/>
    <x v="12"/>
    <n v="6"/>
    <n v="2358.04"/>
    <n v="14148.24"/>
    <n v="3400.67"/>
    <x v="3"/>
  </r>
  <r>
    <x v="17"/>
    <x v="4"/>
    <x v="3"/>
    <x v="10"/>
    <n v="2"/>
    <n v="1575.27"/>
    <n v="3150.54"/>
    <n v="554.13"/>
    <x v="3"/>
  </r>
  <r>
    <x v="17"/>
    <x v="1"/>
    <x v="1"/>
    <x v="4"/>
    <n v="4"/>
    <n v="1239.05"/>
    <n v="4956.2"/>
    <n v="612.89"/>
    <x v="3"/>
  </r>
  <r>
    <x v="18"/>
    <x v="5"/>
    <x v="0"/>
    <x v="0"/>
    <n v="2"/>
    <n v="2377.86"/>
    <n v="4755.72"/>
    <n v="571.37"/>
    <x v="4"/>
  </r>
  <r>
    <x v="18"/>
    <x v="2"/>
    <x v="0"/>
    <x v="2"/>
    <n v="5"/>
    <n v="1063.51"/>
    <n v="5317.55"/>
    <n v="699.76"/>
    <x v="4"/>
  </r>
  <r>
    <x v="18"/>
    <x v="5"/>
    <x v="2"/>
    <x v="7"/>
    <n v="5"/>
    <n v="1510.82"/>
    <n v="7554.1"/>
    <n v="1039.96"/>
    <x v="4"/>
  </r>
  <r>
    <x v="19"/>
    <x v="0"/>
    <x v="3"/>
    <x v="9"/>
    <n v="1"/>
    <n v="507.09"/>
    <n v="507.09"/>
    <n v="109.36"/>
    <x v="5"/>
  </r>
  <r>
    <x v="20"/>
    <x v="5"/>
    <x v="2"/>
    <x v="7"/>
    <n v="8"/>
    <n v="1603.36"/>
    <n v="12826.88"/>
    <n v="2105.5700000000002"/>
    <x v="6"/>
  </r>
  <r>
    <x v="20"/>
    <x v="1"/>
    <x v="0"/>
    <x v="3"/>
    <n v="3"/>
    <n v="1591.18"/>
    <n v="4773.54"/>
    <n v="1074.95"/>
    <x v="6"/>
  </r>
  <r>
    <x v="20"/>
    <x v="5"/>
    <x v="2"/>
    <x v="8"/>
    <n v="3"/>
    <n v="583.66"/>
    <n v="1750.98"/>
    <n v="270.87"/>
    <x v="6"/>
  </r>
  <r>
    <x v="21"/>
    <x v="1"/>
    <x v="2"/>
    <x v="7"/>
    <n v="4"/>
    <n v="1833.87"/>
    <n v="7335.48"/>
    <n v="1122.71"/>
    <x v="0"/>
  </r>
  <r>
    <x v="21"/>
    <x v="4"/>
    <x v="3"/>
    <x v="10"/>
    <n v="4"/>
    <n v="2229.21"/>
    <n v="8916.84"/>
    <n v="2197.38"/>
    <x v="0"/>
  </r>
  <r>
    <x v="21"/>
    <x v="3"/>
    <x v="3"/>
    <x v="10"/>
    <n v="3"/>
    <n v="1973.13"/>
    <n v="5919.39"/>
    <n v="886.89"/>
    <x v="0"/>
  </r>
  <r>
    <x v="22"/>
    <x v="3"/>
    <x v="1"/>
    <x v="6"/>
    <n v="2"/>
    <n v="1265.08"/>
    <n v="2530.16"/>
    <n v="267.70999999999998"/>
    <x v="1"/>
  </r>
  <r>
    <x v="22"/>
    <x v="4"/>
    <x v="2"/>
    <x v="11"/>
    <n v="8"/>
    <n v="1199.32"/>
    <n v="9594.56"/>
    <n v="2140.36"/>
    <x v="1"/>
  </r>
  <r>
    <x v="23"/>
    <x v="2"/>
    <x v="0"/>
    <x v="2"/>
    <n v="7"/>
    <n v="1156.52"/>
    <n v="8095.64"/>
    <n v="1859.19"/>
    <x v="2"/>
  </r>
  <r>
    <x v="23"/>
    <x v="2"/>
    <x v="1"/>
    <x v="12"/>
    <n v="9"/>
    <n v="1162.3"/>
    <n v="10460.700000000001"/>
    <n v="1089.3800000000001"/>
    <x v="2"/>
  </r>
  <r>
    <x v="24"/>
    <x v="2"/>
    <x v="1"/>
    <x v="4"/>
    <n v="2"/>
    <n v="1693.14"/>
    <n v="3386.28"/>
    <n v="514.22"/>
    <x v="3"/>
  </r>
  <r>
    <x v="24"/>
    <x v="5"/>
    <x v="3"/>
    <x v="10"/>
    <n v="7"/>
    <n v="2299.0100000000002"/>
    <n v="16093.07"/>
    <n v="2068.15"/>
    <x v="3"/>
  </r>
  <r>
    <x v="25"/>
    <x v="2"/>
    <x v="0"/>
    <x v="2"/>
    <n v="6"/>
    <n v="1362.59"/>
    <n v="8175.54"/>
    <n v="1981.19"/>
    <x v="4"/>
  </r>
  <r>
    <x v="25"/>
    <x v="2"/>
    <x v="1"/>
    <x v="4"/>
    <n v="5"/>
    <n v="1514.25"/>
    <n v="7571.25"/>
    <n v="1514.51"/>
    <x v="4"/>
  </r>
  <r>
    <x v="25"/>
    <x v="3"/>
    <x v="3"/>
    <x v="9"/>
    <n v="9"/>
    <n v="754.58"/>
    <n v="6791.22"/>
    <n v="1107.42"/>
    <x v="4"/>
  </r>
  <r>
    <x v="25"/>
    <x v="5"/>
    <x v="2"/>
    <x v="7"/>
    <n v="10"/>
    <n v="1101.9000000000001"/>
    <n v="11019"/>
    <n v="2007.56"/>
    <x v="4"/>
  </r>
  <r>
    <x v="26"/>
    <x v="2"/>
    <x v="1"/>
    <x v="6"/>
    <n v="7"/>
    <n v="2071.52"/>
    <n v="14500.64"/>
    <n v="2769.61"/>
    <x v="5"/>
  </r>
  <r>
    <x v="26"/>
    <x v="0"/>
    <x v="3"/>
    <x v="9"/>
    <n v="8"/>
    <n v="1851.25"/>
    <n v="14810"/>
    <n v="2616.5700000000002"/>
    <x v="5"/>
  </r>
  <r>
    <x v="26"/>
    <x v="1"/>
    <x v="2"/>
    <x v="7"/>
    <n v="2"/>
    <n v="1067.57"/>
    <n v="2135.14"/>
    <n v="426.13"/>
    <x v="5"/>
  </r>
  <r>
    <x v="27"/>
    <x v="5"/>
    <x v="0"/>
    <x v="2"/>
    <n v="5"/>
    <n v="949.28"/>
    <n v="4746.3999999999996"/>
    <n v="616.41"/>
    <x v="6"/>
  </r>
  <r>
    <x v="27"/>
    <x v="3"/>
    <x v="0"/>
    <x v="2"/>
    <n v="8"/>
    <n v="1722.55"/>
    <n v="13780.4"/>
    <n v="2966.55"/>
    <x v="6"/>
  </r>
  <r>
    <x v="27"/>
    <x v="0"/>
    <x v="3"/>
    <x v="10"/>
    <n v="7"/>
    <n v="1488.75"/>
    <n v="10421.25"/>
    <n v="1423.52"/>
    <x v="6"/>
  </r>
  <r>
    <x v="28"/>
    <x v="1"/>
    <x v="0"/>
    <x v="1"/>
    <n v="4"/>
    <n v="851.77"/>
    <n v="3407.08"/>
    <n v="830.29"/>
    <x v="0"/>
  </r>
  <r>
    <x v="29"/>
    <x v="0"/>
    <x v="0"/>
    <x v="2"/>
    <n v="2"/>
    <n v="1412.92"/>
    <n v="2825.84"/>
    <n v="622.29"/>
    <x v="1"/>
  </r>
  <r>
    <x v="29"/>
    <x v="3"/>
    <x v="1"/>
    <x v="12"/>
    <n v="10"/>
    <n v="2130.0100000000002"/>
    <n v="21300.1"/>
    <n v="4980.03"/>
    <x v="1"/>
  </r>
  <r>
    <x v="29"/>
    <x v="0"/>
    <x v="3"/>
    <x v="10"/>
    <n v="8"/>
    <n v="1400.14"/>
    <n v="11201.12"/>
    <n v="2383.2199999999998"/>
    <x v="1"/>
  </r>
  <r>
    <x v="29"/>
    <x v="2"/>
    <x v="1"/>
    <x v="12"/>
    <n v="4"/>
    <n v="1049.19"/>
    <n v="4196.76"/>
    <n v="468.45"/>
    <x v="1"/>
  </r>
  <r>
    <x v="30"/>
    <x v="4"/>
    <x v="1"/>
    <x v="5"/>
    <n v="6"/>
    <n v="2286.0500000000002"/>
    <n v="13716.3"/>
    <n v="1537.41"/>
    <x v="2"/>
  </r>
  <r>
    <x v="30"/>
    <x v="3"/>
    <x v="2"/>
    <x v="8"/>
    <n v="3"/>
    <n v="1912.84"/>
    <n v="5738.52"/>
    <n v="629.14"/>
    <x v="2"/>
  </r>
  <r>
    <x v="31"/>
    <x v="1"/>
    <x v="3"/>
    <x v="9"/>
    <n v="1"/>
    <n v="913.67"/>
    <n v="913.67"/>
    <n v="148.94999999999999"/>
    <x v="3"/>
  </r>
  <r>
    <x v="31"/>
    <x v="3"/>
    <x v="0"/>
    <x v="1"/>
    <n v="8"/>
    <n v="511.79"/>
    <n v="4094.32"/>
    <n v="625.46"/>
    <x v="3"/>
  </r>
  <r>
    <x v="31"/>
    <x v="5"/>
    <x v="3"/>
    <x v="10"/>
    <n v="8"/>
    <n v="938.84"/>
    <n v="7510.72"/>
    <n v="1242.0899999999999"/>
    <x v="3"/>
  </r>
  <r>
    <x v="32"/>
    <x v="1"/>
    <x v="1"/>
    <x v="12"/>
    <n v="3"/>
    <n v="2181.0100000000002"/>
    <n v="6543.03"/>
    <n v="1556.79"/>
    <x v="4"/>
  </r>
  <r>
    <x v="32"/>
    <x v="0"/>
    <x v="0"/>
    <x v="1"/>
    <n v="10"/>
    <n v="1628.78"/>
    <n v="16287.8"/>
    <n v="1694.99"/>
    <x v="4"/>
  </r>
  <r>
    <x v="32"/>
    <x v="2"/>
    <x v="3"/>
    <x v="10"/>
    <n v="8"/>
    <n v="863.46"/>
    <n v="6907.68"/>
    <n v="960.33"/>
    <x v="4"/>
  </r>
  <r>
    <x v="32"/>
    <x v="2"/>
    <x v="2"/>
    <x v="8"/>
    <n v="6"/>
    <n v="1175"/>
    <n v="7050"/>
    <n v="1635.22"/>
    <x v="4"/>
  </r>
  <r>
    <x v="33"/>
    <x v="2"/>
    <x v="1"/>
    <x v="4"/>
    <n v="8"/>
    <n v="538.77"/>
    <n v="4310.16"/>
    <n v="779.76"/>
    <x v="5"/>
  </r>
  <r>
    <x v="33"/>
    <x v="5"/>
    <x v="2"/>
    <x v="7"/>
    <n v="2"/>
    <n v="2062.4699999999998"/>
    <n v="4124.9399999999996"/>
    <n v="815.76"/>
    <x v="5"/>
  </r>
  <r>
    <x v="33"/>
    <x v="3"/>
    <x v="2"/>
    <x v="11"/>
    <n v="1"/>
    <n v="1742.67"/>
    <n v="1742.67"/>
    <n v="236.62"/>
    <x v="5"/>
  </r>
  <r>
    <x v="33"/>
    <x v="4"/>
    <x v="0"/>
    <x v="2"/>
    <n v="8"/>
    <n v="1898.93"/>
    <n v="15191.44"/>
    <n v="3266.69"/>
    <x v="5"/>
  </r>
  <r>
    <x v="34"/>
    <x v="2"/>
    <x v="0"/>
    <x v="2"/>
    <n v="5"/>
    <n v="716.2"/>
    <n v="3581"/>
    <n v="371.89"/>
    <x v="6"/>
  </r>
  <r>
    <x v="34"/>
    <x v="0"/>
    <x v="3"/>
    <x v="9"/>
    <n v="4"/>
    <n v="651.99"/>
    <n v="2607.96"/>
    <n v="530.96"/>
    <x v="6"/>
  </r>
  <r>
    <x v="34"/>
    <x v="5"/>
    <x v="2"/>
    <x v="11"/>
    <n v="5"/>
    <n v="2200.59"/>
    <n v="11002.95"/>
    <n v="2091.2399999999998"/>
    <x v="6"/>
  </r>
  <r>
    <x v="34"/>
    <x v="1"/>
    <x v="0"/>
    <x v="0"/>
    <n v="9"/>
    <n v="1356.76"/>
    <n v="12210.84"/>
    <n v="1899.83"/>
    <x v="6"/>
  </r>
  <r>
    <x v="34"/>
    <x v="2"/>
    <x v="1"/>
    <x v="4"/>
    <n v="7"/>
    <n v="2144.66"/>
    <n v="15012.62"/>
    <n v="1738.92"/>
    <x v="6"/>
  </r>
  <r>
    <x v="35"/>
    <x v="2"/>
    <x v="2"/>
    <x v="8"/>
    <n v="3"/>
    <n v="1967.59"/>
    <n v="5902.77"/>
    <n v="1445.12"/>
    <x v="0"/>
  </r>
  <r>
    <x v="35"/>
    <x v="2"/>
    <x v="3"/>
    <x v="9"/>
    <n v="7"/>
    <n v="2151.4699999999998"/>
    <n v="15060.29"/>
    <n v="2844.45"/>
    <x v="0"/>
  </r>
  <r>
    <x v="35"/>
    <x v="3"/>
    <x v="2"/>
    <x v="11"/>
    <n v="5"/>
    <n v="2263.2600000000002"/>
    <n v="11316.3"/>
    <n v="1545.57"/>
    <x v="0"/>
  </r>
  <r>
    <x v="35"/>
    <x v="3"/>
    <x v="3"/>
    <x v="9"/>
    <n v="1"/>
    <n v="1488.61"/>
    <n v="1488.61"/>
    <n v="221.43"/>
    <x v="0"/>
  </r>
  <r>
    <x v="36"/>
    <x v="2"/>
    <x v="1"/>
    <x v="5"/>
    <n v="6"/>
    <n v="1059.32"/>
    <n v="6355.92"/>
    <n v="1203.96"/>
    <x v="1"/>
  </r>
  <r>
    <x v="36"/>
    <x v="1"/>
    <x v="0"/>
    <x v="2"/>
    <n v="2"/>
    <n v="982.71"/>
    <n v="1965.42"/>
    <n v="316.36"/>
    <x v="1"/>
  </r>
  <r>
    <x v="37"/>
    <x v="4"/>
    <x v="3"/>
    <x v="9"/>
    <n v="8"/>
    <n v="2085.87"/>
    <n v="16686.96"/>
    <n v="1901.61"/>
    <x v="2"/>
  </r>
  <r>
    <x v="37"/>
    <x v="1"/>
    <x v="3"/>
    <x v="10"/>
    <n v="5"/>
    <n v="1827.92"/>
    <n v="9139.6"/>
    <n v="1419.86"/>
    <x v="2"/>
  </r>
  <r>
    <x v="38"/>
    <x v="2"/>
    <x v="1"/>
    <x v="12"/>
    <n v="9"/>
    <n v="1161.58"/>
    <n v="10454.219999999999"/>
    <n v="2147.59"/>
    <x v="3"/>
  </r>
  <r>
    <x v="38"/>
    <x v="5"/>
    <x v="1"/>
    <x v="5"/>
    <n v="4"/>
    <n v="741.31"/>
    <n v="2965.24"/>
    <n v="382.18"/>
    <x v="3"/>
  </r>
  <r>
    <x v="38"/>
    <x v="1"/>
    <x v="2"/>
    <x v="11"/>
    <n v="4"/>
    <n v="1977.21"/>
    <n v="7908.84"/>
    <n v="1118.9000000000001"/>
    <x v="3"/>
  </r>
  <r>
    <x v="38"/>
    <x v="2"/>
    <x v="1"/>
    <x v="4"/>
    <n v="4"/>
    <n v="1092.49"/>
    <n v="4369.96"/>
    <n v="673.55"/>
    <x v="3"/>
  </r>
  <r>
    <x v="38"/>
    <x v="2"/>
    <x v="0"/>
    <x v="2"/>
    <n v="5"/>
    <n v="591.03"/>
    <n v="2955.15"/>
    <n v="319.68"/>
    <x v="3"/>
  </r>
  <r>
    <x v="39"/>
    <x v="3"/>
    <x v="3"/>
    <x v="10"/>
    <n v="1"/>
    <n v="1648.13"/>
    <n v="1648.13"/>
    <n v="280.86"/>
    <x v="4"/>
  </r>
  <r>
    <x v="39"/>
    <x v="5"/>
    <x v="1"/>
    <x v="6"/>
    <n v="1"/>
    <n v="1004.96"/>
    <n v="1004.96"/>
    <n v="230.4"/>
    <x v="4"/>
  </r>
  <r>
    <x v="40"/>
    <x v="4"/>
    <x v="3"/>
    <x v="9"/>
    <n v="2"/>
    <n v="1654.04"/>
    <n v="3308.08"/>
    <n v="671.43"/>
    <x v="5"/>
  </r>
  <r>
    <x v="41"/>
    <x v="1"/>
    <x v="1"/>
    <x v="4"/>
    <n v="4"/>
    <n v="736.9"/>
    <n v="2947.6"/>
    <n v="632.75"/>
    <x v="6"/>
  </r>
  <r>
    <x v="41"/>
    <x v="1"/>
    <x v="2"/>
    <x v="7"/>
    <n v="7"/>
    <n v="1401.03"/>
    <n v="9807.2099999999991"/>
    <n v="1632"/>
    <x v="6"/>
  </r>
  <r>
    <x v="42"/>
    <x v="4"/>
    <x v="1"/>
    <x v="4"/>
    <n v="10"/>
    <n v="2420.2199999999998"/>
    <n v="24202.2"/>
    <n v="2780.47"/>
    <x v="0"/>
  </r>
  <r>
    <x v="42"/>
    <x v="5"/>
    <x v="2"/>
    <x v="8"/>
    <n v="2"/>
    <n v="814.11"/>
    <n v="1628.22"/>
    <n v="205.27"/>
    <x v="0"/>
  </r>
  <r>
    <x v="42"/>
    <x v="2"/>
    <x v="2"/>
    <x v="11"/>
    <n v="7"/>
    <n v="1401.01"/>
    <n v="9807.07"/>
    <n v="1854.24"/>
    <x v="0"/>
  </r>
  <r>
    <x v="42"/>
    <x v="3"/>
    <x v="0"/>
    <x v="2"/>
    <n v="5"/>
    <n v="1913.91"/>
    <n v="9569.5499999999993"/>
    <n v="1966.05"/>
    <x v="0"/>
  </r>
  <r>
    <x v="43"/>
    <x v="3"/>
    <x v="2"/>
    <x v="8"/>
    <n v="10"/>
    <n v="1822.37"/>
    <n v="18223.7"/>
    <n v="4374.6000000000004"/>
    <x v="1"/>
  </r>
  <r>
    <x v="44"/>
    <x v="5"/>
    <x v="2"/>
    <x v="7"/>
    <n v="3"/>
    <n v="2316.8200000000002"/>
    <n v="6950.46"/>
    <n v="1556.87"/>
    <x v="2"/>
  </r>
  <r>
    <x v="45"/>
    <x v="2"/>
    <x v="2"/>
    <x v="8"/>
    <n v="10"/>
    <n v="1997.92"/>
    <n v="19979.2"/>
    <n v="3703.77"/>
    <x v="3"/>
  </r>
  <r>
    <x v="46"/>
    <x v="1"/>
    <x v="0"/>
    <x v="1"/>
    <n v="5"/>
    <n v="1899.47"/>
    <n v="9497.35"/>
    <n v="2292.67"/>
    <x v="4"/>
  </r>
  <r>
    <x v="46"/>
    <x v="0"/>
    <x v="3"/>
    <x v="9"/>
    <n v="2"/>
    <n v="1696.07"/>
    <n v="3392.14"/>
    <n v="791.77"/>
    <x v="4"/>
  </r>
  <r>
    <x v="46"/>
    <x v="1"/>
    <x v="1"/>
    <x v="5"/>
    <n v="1"/>
    <n v="682.65"/>
    <n v="682.65"/>
    <n v="166.76"/>
    <x v="4"/>
  </r>
  <r>
    <x v="46"/>
    <x v="3"/>
    <x v="0"/>
    <x v="0"/>
    <n v="10"/>
    <n v="580.46"/>
    <n v="5804.6"/>
    <n v="1238.94"/>
    <x v="4"/>
  </r>
  <r>
    <x v="47"/>
    <x v="3"/>
    <x v="3"/>
    <x v="9"/>
    <n v="3"/>
    <n v="2493.89"/>
    <n v="7481.67"/>
    <n v="1237.3399999999999"/>
    <x v="5"/>
  </r>
  <r>
    <x v="47"/>
    <x v="5"/>
    <x v="0"/>
    <x v="1"/>
    <n v="6"/>
    <n v="1316.7"/>
    <n v="7900.2"/>
    <n v="1170.48"/>
    <x v="5"/>
  </r>
  <r>
    <x v="47"/>
    <x v="3"/>
    <x v="2"/>
    <x v="8"/>
    <n v="7"/>
    <n v="1887.35"/>
    <n v="13211.45"/>
    <n v="1892.31"/>
    <x v="5"/>
  </r>
  <r>
    <x v="47"/>
    <x v="3"/>
    <x v="0"/>
    <x v="1"/>
    <n v="2"/>
    <n v="1129.03"/>
    <n v="2258.06"/>
    <n v="335.3"/>
    <x v="5"/>
  </r>
  <r>
    <x v="47"/>
    <x v="1"/>
    <x v="0"/>
    <x v="1"/>
    <n v="7"/>
    <n v="608.41"/>
    <n v="4258.87"/>
    <n v="757.08"/>
    <x v="5"/>
  </r>
  <r>
    <x v="48"/>
    <x v="2"/>
    <x v="3"/>
    <x v="10"/>
    <n v="4"/>
    <n v="1034.1099999999999"/>
    <n v="4136.4399999999996"/>
    <n v="494.93"/>
    <x v="6"/>
  </r>
  <r>
    <x v="48"/>
    <x v="4"/>
    <x v="3"/>
    <x v="9"/>
    <n v="2"/>
    <n v="557.74"/>
    <n v="1115.48"/>
    <n v="216.96"/>
    <x v="6"/>
  </r>
  <r>
    <x v="48"/>
    <x v="4"/>
    <x v="2"/>
    <x v="8"/>
    <n v="9"/>
    <n v="527.35"/>
    <n v="4746.1499999999996"/>
    <n v="765.07"/>
    <x v="6"/>
  </r>
  <r>
    <x v="48"/>
    <x v="0"/>
    <x v="0"/>
    <x v="1"/>
    <n v="2"/>
    <n v="1795.42"/>
    <n v="3590.84"/>
    <n v="442.02"/>
    <x v="6"/>
  </r>
  <r>
    <x v="49"/>
    <x v="1"/>
    <x v="1"/>
    <x v="12"/>
    <n v="8"/>
    <n v="2460.4899999999998"/>
    <n v="19683.919999999998"/>
    <n v="2688.03"/>
    <x v="0"/>
  </r>
  <r>
    <x v="49"/>
    <x v="4"/>
    <x v="2"/>
    <x v="8"/>
    <n v="4"/>
    <n v="2343.7399999999998"/>
    <n v="9374.9599999999991"/>
    <n v="1652.21"/>
    <x v="0"/>
  </r>
  <r>
    <x v="49"/>
    <x v="2"/>
    <x v="0"/>
    <x v="0"/>
    <n v="7"/>
    <n v="1179.75"/>
    <n v="8258.25"/>
    <n v="1801.6"/>
    <x v="0"/>
  </r>
  <r>
    <x v="50"/>
    <x v="4"/>
    <x v="1"/>
    <x v="5"/>
    <n v="10"/>
    <n v="1659.85"/>
    <n v="16598.5"/>
    <n v="3302.95"/>
    <x v="1"/>
  </r>
  <r>
    <x v="51"/>
    <x v="3"/>
    <x v="3"/>
    <x v="9"/>
    <n v="6"/>
    <n v="1603.83"/>
    <n v="9622.98"/>
    <n v="1746.71"/>
    <x v="2"/>
  </r>
  <r>
    <x v="51"/>
    <x v="3"/>
    <x v="1"/>
    <x v="6"/>
    <n v="4"/>
    <n v="1643.6"/>
    <n v="6574.4"/>
    <n v="887.77"/>
    <x v="2"/>
  </r>
  <r>
    <x v="51"/>
    <x v="3"/>
    <x v="0"/>
    <x v="0"/>
    <n v="8"/>
    <n v="1910.46"/>
    <n v="15283.68"/>
    <n v="3388.57"/>
    <x v="2"/>
  </r>
  <r>
    <x v="51"/>
    <x v="2"/>
    <x v="2"/>
    <x v="8"/>
    <n v="1"/>
    <n v="752.49"/>
    <n v="752.49"/>
    <n v="184.21"/>
    <x v="2"/>
  </r>
  <r>
    <x v="52"/>
    <x v="4"/>
    <x v="3"/>
    <x v="10"/>
    <n v="9"/>
    <n v="2320.88"/>
    <n v="20887.919999999998"/>
    <n v="2136.88"/>
    <x v="3"/>
  </r>
  <r>
    <x v="53"/>
    <x v="1"/>
    <x v="2"/>
    <x v="11"/>
    <n v="8"/>
    <n v="2063.0500000000002"/>
    <n v="16504.400000000001"/>
    <n v="2306.5500000000002"/>
    <x v="4"/>
  </r>
  <r>
    <x v="53"/>
    <x v="3"/>
    <x v="3"/>
    <x v="10"/>
    <n v="6"/>
    <n v="2204.6799999999998"/>
    <n v="13228.08"/>
    <n v="3027.93"/>
    <x v="4"/>
  </r>
  <r>
    <x v="53"/>
    <x v="0"/>
    <x v="1"/>
    <x v="12"/>
    <n v="9"/>
    <n v="571.79999999999995"/>
    <n v="5146.2"/>
    <n v="567.44000000000005"/>
    <x v="4"/>
  </r>
  <r>
    <x v="53"/>
    <x v="0"/>
    <x v="1"/>
    <x v="6"/>
    <n v="2"/>
    <n v="1367.94"/>
    <n v="2735.88"/>
    <n v="313.99"/>
    <x v="4"/>
  </r>
  <r>
    <x v="54"/>
    <x v="5"/>
    <x v="3"/>
    <x v="10"/>
    <n v="5"/>
    <n v="2306.85"/>
    <n v="11534.25"/>
    <n v="1233"/>
    <x v="5"/>
  </r>
  <r>
    <x v="55"/>
    <x v="1"/>
    <x v="1"/>
    <x v="5"/>
    <n v="7"/>
    <n v="791.14"/>
    <n v="5537.98"/>
    <n v="995.04"/>
    <x v="6"/>
  </r>
  <r>
    <x v="55"/>
    <x v="1"/>
    <x v="2"/>
    <x v="11"/>
    <n v="3"/>
    <n v="657.94"/>
    <n v="1973.82"/>
    <n v="455.21"/>
    <x v="6"/>
  </r>
  <r>
    <x v="55"/>
    <x v="2"/>
    <x v="2"/>
    <x v="8"/>
    <n v="10"/>
    <n v="786.24"/>
    <n v="7862.4"/>
    <n v="1330.1"/>
    <x v="6"/>
  </r>
  <r>
    <x v="56"/>
    <x v="4"/>
    <x v="1"/>
    <x v="4"/>
    <n v="8"/>
    <n v="2302.42"/>
    <n v="18419.36"/>
    <n v="3714.11"/>
    <x v="0"/>
  </r>
  <r>
    <x v="56"/>
    <x v="3"/>
    <x v="0"/>
    <x v="1"/>
    <n v="6"/>
    <n v="2475.3000000000002"/>
    <n v="14851.8"/>
    <n v="2151.63"/>
    <x v="0"/>
  </r>
  <r>
    <x v="56"/>
    <x v="3"/>
    <x v="1"/>
    <x v="12"/>
    <n v="5"/>
    <n v="898.43"/>
    <n v="4492.1499999999996"/>
    <n v="708.43"/>
    <x v="0"/>
  </r>
  <r>
    <x v="56"/>
    <x v="0"/>
    <x v="0"/>
    <x v="2"/>
    <n v="7"/>
    <n v="1643.85"/>
    <n v="11506.95"/>
    <n v="2142.84"/>
    <x v="0"/>
  </r>
  <r>
    <x v="57"/>
    <x v="0"/>
    <x v="0"/>
    <x v="1"/>
    <n v="5"/>
    <n v="516.20000000000005"/>
    <n v="2581"/>
    <n v="593.01"/>
    <x v="1"/>
  </r>
  <r>
    <x v="57"/>
    <x v="2"/>
    <x v="0"/>
    <x v="1"/>
    <n v="5"/>
    <n v="2051.48"/>
    <n v="10257.4"/>
    <n v="1379.8"/>
    <x v="1"/>
  </r>
  <r>
    <x v="57"/>
    <x v="0"/>
    <x v="2"/>
    <x v="7"/>
    <n v="4"/>
    <n v="1741.78"/>
    <n v="6967.12"/>
    <n v="1405.02"/>
    <x v="1"/>
  </r>
  <r>
    <x v="58"/>
    <x v="2"/>
    <x v="0"/>
    <x v="3"/>
    <n v="5"/>
    <n v="2077.2199999999998"/>
    <n v="10386.1"/>
    <n v="1090.5899999999999"/>
    <x v="2"/>
  </r>
  <r>
    <x v="58"/>
    <x v="4"/>
    <x v="2"/>
    <x v="11"/>
    <n v="5"/>
    <n v="1153.44"/>
    <n v="5767.2"/>
    <n v="936.16"/>
    <x v="2"/>
  </r>
  <r>
    <x v="59"/>
    <x v="3"/>
    <x v="1"/>
    <x v="5"/>
    <n v="3"/>
    <n v="1013.94"/>
    <n v="3041.82"/>
    <n v="680.47"/>
    <x v="3"/>
  </r>
  <r>
    <x v="59"/>
    <x v="4"/>
    <x v="1"/>
    <x v="5"/>
    <n v="2"/>
    <n v="1436.66"/>
    <n v="2873.32"/>
    <n v="319.79000000000002"/>
    <x v="3"/>
  </r>
  <r>
    <x v="60"/>
    <x v="3"/>
    <x v="1"/>
    <x v="4"/>
    <n v="7"/>
    <n v="527.84"/>
    <n v="3694.88"/>
    <n v="666.87"/>
    <x v="4"/>
  </r>
  <r>
    <x v="60"/>
    <x v="2"/>
    <x v="1"/>
    <x v="5"/>
    <n v="10"/>
    <n v="1262.05"/>
    <n v="12620.5"/>
    <n v="2470.87"/>
    <x v="4"/>
  </r>
  <r>
    <x v="60"/>
    <x v="1"/>
    <x v="0"/>
    <x v="2"/>
    <n v="8"/>
    <n v="550.04999999999995"/>
    <n v="4400.3999999999996"/>
    <n v="1023.69"/>
    <x v="4"/>
  </r>
  <r>
    <x v="60"/>
    <x v="0"/>
    <x v="1"/>
    <x v="6"/>
    <n v="2"/>
    <n v="1770.81"/>
    <n v="3541.62"/>
    <n v="600.79999999999995"/>
    <x v="4"/>
  </r>
  <r>
    <x v="61"/>
    <x v="3"/>
    <x v="3"/>
    <x v="10"/>
    <n v="3"/>
    <n v="590.69000000000005"/>
    <n v="1772.07"/>
    <n v="187.1"/>
    <x v="5"/>
  </r>
  <r>
    <x v="61"/>
    <x v="3"/>
    <x v="0"/>
    <x v="3"/>
    <n v="4"/>
    <n v="2274.52"/>
    <n v="9098.08"/>
    <n v="1094.95"/>
    <x v="5"/>
  </r>
  <r>
    <x v="61"/>
    <x v="3"/>
    <x v="1"/>
    <x v="12"/>
    <n v="10"/>
    <n v="1984.54"/>
    <n v="19845.400000000001"/>
    <n v="2444.5300000000002"/>
    <x v="5"/>
  </r>
  <r>
    <x v="62"/>
    <x v="3"/>
    <x v="3"/>
    <x v="9"/>
    <n v="5"/>
    <n v="565.42999999999995"/>
    <n v="2827.15"/>
    <n v="439.85"/>
    <x v="6"/>
  </r>
  <r>
    <x v="63"/>
    <x v="0"/>
    <x v="2"/>
    <x v="8"/>
    <n v="2"/>
    <n v="2461.86"/>
    <n v="4923.72"/>
    <n v="763.67"/>
    <x v="0"/>
  </r>
  <r>
    <x v="63"/>
    <x v="3"/>
    <x v="1"/>
    <x v="4"/>
    <n v="7"/>
    <n v="1051.76"/>
    <n v="7362.32"/>
    <n v="1805.47"/>
    <x v="0"/>
  </r>
  <r>
    <x v="63"/>
    <x v="2"/>
    <x v="0"/>
    <x v="2"/>
    <n v="10"/>
    <n v="2442.19"/>
    <n v="24421.9"/>
    <n v="2627.47"/>
    <x v="0"/>
  </r>
  <r>
    <x v="63"/>
    <x v="1"/>
    <x v="2"/>
    <x v="11"/>
    <n v="10"/>
    <n v="910.41"/>
    <n v="9104.1"/>
    <n v="2043.62"/>
    <x v="0"/>
  </r>
  <r>
    <x v="64"/>
    <x v="1"/>
    <x v="2"/>
    <x v="11"/>
    <n v="6"/>
    <n v="2048.7399999999998"/>
    <n v="12292.44"/>
    <n v="2683.4"/>
    <x v="1"/>
  </r>
  <r>
    <x v="64"/>
    <x v="4"/>
    <x v="0"/>
    <x v="0"/>
    <n v="3"/>
    <n v="2475.0500000000002"/>
    <n v="7425.15"/>
    <n v="1344.19"/>
    <x v="1"/>
  </r>
  <r>
    <x v="65"/>
    <x v="1"/>
    <x v="0"/>
    <x v="2"/>
    <n v="1"/>
    <n v="1216.48"/>
    <n v="1216.48"/>
    <n v="265.51"/>
    <x v="2"/>
  </r>
  <r>
    <x v="66"/>
    <x v="1"/>
    <x v="0"/>
    <x v="2"/>
    <n v="5"/>
    <n v="604.79999999999995"/>
    <n v="3024"/>
    <n v="638.84"/>
    <x v="3"/>
  </r>
  <r>
    <x v="66"/>
    <x v="1"/>
    <x v="0"/>
    <x v="3"/>
    <n v="8"/>
    <n v="1396.55"/>
    <n v="11172.4"/>
    <n v="1723.97"/>
    <x v="3"/>
  </r>
  <r>
    <x v="66"/>
    <x v="0"/>
    <x v="0"/>
    <x v="1"/>
    <n v="9"/>
    <n v="943.1"/>
    <n v="8487.9"/>
    <n v="1631.93"/>
    <x v="3"/>
  </r>
  <r>
    <x v="67"/>
    <x v="3"/>
    <x v="1"/>
    <x v="12"/>
    <n v="1"/>
    <n v="621.65"/>
    <n v="621.65"/>
    <n v="106.83"/>
    <x v="4"/>
  </r>
  <r>
    <x v="67"/>
    <x v="5"/>
    <x v="3"/>
    <x v="10"/>
    <n v="8"/>
    <n v="1924.8"/>
    <n v="15398.4"/>
    <n v="2564.36"/>
    <x v="4"/>
  </r>
  <r>
    <x v="67"/>
    <x v="1"/>
    <x v="1"/>
    <x v="6"/>
    <n v="2"/>
    <n v="752.38"/>
    <n v="1504.76"/>
    <n v="291.39"/>
    <x v="4"/>
  </r>
  <r>
    <x v="67"/>
    <x v="1"/>
    <x v="1"/>
    <x v="12"/>
    <n v="10"/>
    <n v="1561.11"/>
    <n v="15611.1"/>
    <n v="2623.56"/>
    <x v="4"/>
  </r>
  <r>
    <x v="67"/>
    <x v="1"/>
    <x v="3"/>
    <x v="10"/>
    <n v="2"/>
    <n v="2205.59"/>
    <n v="4411.18"/>
    <n v="871.81"/>
    <x v="4"/>
  </r>
  <r>
    <x v="68"/>
    <x v="3"/>
    <x v="3"/>
    <x v="9"/>
    <n v="4"/>
    <n v="1327.63"/>
    <n v="5310.52"/>
    <n v="1190.1600000000001"/>
    <x v="5"/>
  </r>
  <r>
    <x v="68"/>
    <x v="2"/>
    <x v="3"/>
    <x v="10"/>
    <n v="6"/>
    <n v="1353.53"/>
    <n v="8121.18"/>
    <n v="1622.34"/>
    <x v="5"/>
  </r>
  <r>
    <x v="69"/>
    <x v="5"/>
    <x v="3"/>
    <x v="10"/>
    <n v="2"/>
    <n v="2163.54"/>
    <n v="4327.08"/>
    <n v="493.22"/>
    <x v="6"/>
  </r>
  <r>
    <x v="69"/>
    <x v="1"/>
    <x v="1"/>
    <x v="6"/>
    <n v="9"/>
    <n v="619.96"/>
    <n v="5579.64"/>
    <n v="1358.61"/>
    <x v="6"/>
  </r>
  <r>
    <x v="70"/>
    <x v="3"/>
    <x v="0"/>
    <x v="1"/>
    <n v="6"/>
    <n v="2247.21"/>
    <n v="13483.26"/>
    <n v="3251.75"/>
    <x v="0"/>
  </r>
  <r>
    <x v="70"/>
    <x v="1"/>
    <x v="0"/>
    <x v="0"/>
    <n v="10"/>
    <n v="1124.9000000000001"/>
    <n v="11249"/>
    <n v="1299.71"/>
    <x v="0"/>
  </r>
  <r>
    <x v="70"/>
    <x v="1"/>
    <x v="2"/>
    <x v="11"/>
    <n v="8"/>
    <n v="948.49"/>
    <n v="7587.92"/>
    <n v="881.96"/>
    <x v="0"/>
  </r>
  <r>
    <x v="71"/>
    <x v="1"/>
    <x v="0"/>
    <x v="0"/>
    <n v="10"/>
    <n v="952.32"/>
    <n v="9523.2000000000007"/>
    <n v="1565.3"/>
    <x v="1"/>
  </r>
  <r>
    <x v="71"/>
    <x v="2"/>
    <x v="0"/>
    <x v="0"/>
    <n v="1"/>
    <n v="860.83"/>
    <n v="860.83"/>
    <n v="176.82"/>
    <x v="1"/>
  </r>
  <r>
    <x v="71"/>
    <x v="0"/>
    <x v="1"/>
    <x v="5"/>
    <n v="1"/>
    <n v="862.81"/>
    <n v="862.81"/>
    <n v="104.82"/>
    <x v="1"/>
  </r>
  <r>
    <x v="72"/>
    <x v="3"/>
    <x v="0"/>
    <x v="2"/>
    <n v="1"/>
    <n v="683.52"/>
    <n v="683.52"/>
    <n v="122.74"/>
    <x v="2"/>
  </r>
  <r>
    <x v="72"/>
    <x v="2"/>
    <x v="3"/>
    <x v="9"/>
    <n v="6"/>
    <n v="814.82"/>
    <n v="4888.92"/>
    <n v="717.43"/>
    <x v="2"/>
  </r>
  <r>
    <x v="72"/>
    <x v="0"/>
    <x v="0"/>
    <x v="3"/>
    <n v="3"/>
    <n v="814.82"/>
    <n v="2444.46"/>
    <n v="470.99"/>
    <x v="2"/>
  </r>
  <r>
    <x v="72"/>
    <x v="3"/>
    <x v="0"/>
    <x v="0"/>
    <n v="8"/>
    <n v="1823.88"/>
    <n v="14591.04"/>
    <n v="2522.0500000000002"/>
    <x v="2"/>
  </r>
  <r>
    <x v="73"/>
    <x v="2"/>
    <x v="1"/>
    <x v="6"/>
    <n v="9"/>
    <n v="727.64"/>
    <n v="6548.76"/>
    <n v="1077.19"/>
    <x v="3"/>
  </r>
  <r>
    <x v="73"/>
    <x v="5"/>
    <x v="3"/>
    <x v="9"/>
    <n v="1"/>
    <n v="941.04"/>
    <n v="941.04"/>
    <n v="233.06"/>
    <x v="3"/>
  </r>
  <r>
    <x v="73"/>
    <x v="2"/>
    <x v="0"/>
    <x v="2"/>
    <n v="5"/>
    <n v="2390.65"/>
    <n v="11953.25"/>
    <n v="2571.17"/>
    <x v="3"/>
  </r>
  <r>
    <x v="73"/>
    <x v="4"/>
    <x v="1"/>
    <x v="5"/>
    <n v="2"/>
    <n v="515.46"/>
    <n v="1030.92"/>
    <n v="218.61"/>
    <x v="3"/>
  </r>
  <r>
    <x v="74"/>
    <x v="2"/>
    <x v="3"/>
    <x v="10"/>
    <n v="9"/>
    <n v="1617.45"/>
    <n v="14557.05"/>
    <n v="2914.43"/>
    <x v="4"/>
  </r>
  <r>
    <x v="74"/>
    <x v="5"/>
    <x v="0"/>
    <x v="1"/>
    <n v="1"/>
    <n v="1372.44"/>
    <n v="1372.44"/>
    <n v="231.89"/>
    <x v="4"/>
  </r>
  <r>
    <x v="75"/>
    <x v="2"/>
    <x v="3"/>
    <x v="9"/>
    <n v="7"/>
    <n v="1079.03"/>
    <n v="7553.21"/>
    <n v="1214.22"/>
    <x v="5"/>
  </r>
  <r>
    <x v="75"/>
    <x v="5"/>
    <x v="2"/>
    <x v="7"/>
    <n v="8"/>
    <n v="2164.0500000000002"/>
    <n v="17312.400000000001"/>
    <n v="4119.75"/>
    <x v="5"/>
  </r>
  <r>
    <x v="75"/>
    <x v="5"/>
    <x v="3"/>
    <x v="10"/>
    <n v="4"/>
    <n v="1371.35"/>
    <n v="5485.4"/>
    <n v="878.03"/>
    <x v="5"/>
  </r>
  <r>
    <x v="76"/>
    <x v="1"/>
    <x v="1"/>
    <x v="5"/>
    <n v="4"/>
    <n v="1166.1400000000001"/>
    <n v="4664.5600000000004"/>
    <n v="584.1"/>
    <x v="6"/>
  </r>
  <r>
    <x v="76"/>
    <x v="0"/>
    <x v="0"/>
    <x v="2"/>
    <n v="6"/>
    <n v="1202.2"/>
    <n v="7213.2"/>
    <n v="1758.1"/>
    <x v="6"/>
  </r>
  <r>
    <x v="76"/>
    <x v="1"/>
    <x v="2"/>
    <x v="11"/>
    <n v="2"/>
    <n v="792.89"/>
    <n v="1585.78"/>
    <n v="205.5"/>
    <x v="6"/>
  </r>
  <r>
    <x v="76"/>
    <x v="3"/>
    <x v="2"/>
    <x v="7"/>
    <n v="2"/>
    <n v="854.29"/>
    <n v="1708.58"/>
    <n v="368.93"/>
    <x v="6"/>
  </r>
  <r>
    <x v="77"/>
    <x v="3"/>
    <x v="3"/>
    <x v="9"/>
    <n v="6"/>
    <n v="801.91"/>
    <n v="4811.46"/>
    <n v="530.42999999999995"/>
    <x v="0"/>
  </r>
  <r>
    <x v="77"/>
    <x v="2"/>
    <x v="1"/>
    <x v="5"/>
    <n v="10"/>
    <n v="612.34"/>
    <n v="6123.4"/>
    <n v="1078.33"/>
    <x v="0"/>
  </r>
  <r>
    <x v="77"/>
    <x v="5"/>
    <x v="3"/>
    <x v="9"/>
    <n v="1"/>
    <n v="613.78"/>
    <n v="613.78"/>
    <n v="137.94999999999999"/>
    <x v="0"/>
  </r>
  <r>
    <x v="77"/>
    <x v="0"/>
    <x v="0"/>
    <x v="1"/>
    <n v="8"/>
    <n v="1660.66"/>
    <n v="13285.28"/>
    <n v="3230.11"/>
    <x v="0"/>
  </r>
  <r>
    <x v="78"/>
    <x v="5"/>
    <x v="3"/>
    <x v="10"/>
    <n v="6"/>
    <n v="1710.01"/>
    <n v="10260.06"/>
    <n v="1797.61"/>
    <x v="1"/>
  </r>
  <r>
    <x v="79"/>
    <x v="4"/>
    <x v="0"/>
    <x v="0"/>
    <n v="2"/>
    <n v="1509.1"/>
    <n v="3018.2"/>
    <n v="379.94"/>
    <x v="2"/>
  </r>
  <r>
    <x v="79"/>
    <x v="2"/>
    <x v="3"/>
    <x v="9"/>
    <n v="9"/>
    <n v="1545.5"/>
    <n v="13909.5"/>
    <n v="1722.16"/>
    <x v="2"/>
  </r>
  <r>
    <x v="79"/>
    <x v="5"/>
    <x v="1"/>
    <x v="12"/>
    <n v="7"/>
    <n v="2048.9299999999998"/>
    <n v="14342.51"/>
    <n v="2894.82"/>
    <x v="2"/>
  </r>
  <r>
    <x v="79"/>
    <x v="2"/>
    <x v="1"/>
    <x v="4"/>
    <n v="6"/>
    <n v="689.01"/>
    <n v="4134.0600000000004"/>
    <n v="834.08"/>
    <x v="2"/>
  </r>
  <r>
    <x v="80"/>
    <x v="2"/>
    <x v="2"/>
    <x v="8"/>
    <n v="2"/>
    <n v="1665.48"/>
    <n v="3330.96"/>
    <n v="403.76"/>
    <x v="3"/>
  </r>
  <r>
    <x v="80"/>
    <x v="2"/>
    <x v="1"/>
    <x v="12"/>
    <n v="3"/>
    <n v="1690.08"/>
    <n v="5070.24"/>
    <n v="1220.4100000000001"/>
    <x v="3"/>
  </r>
  <r>
    <x v="80"/>
    <x v="0"/>
    <x v="3"/>
    <x v="9"/>
    <n v="3"/>
    <n v="1840.23"/>
    <n v="5520.69"/>
    <n v="1238.53"/>
    <x v="3"/>
  </r>
  <r>
    <x v="81"/>
    <x v="4"/>
    <x v="0"/>
    <x v="1"/>
    <n v="9"/>
    <n v="1223.6600000000001"/>
    <n v="11012.94"/>
    <n v="1700.28"/>
    <x v="4"/>
  </r>
  <r>
    <x v="81"/>
    <x v="4"/>
    <x v="2"/>
    <x v="8"/>
    <n v="8"/>
    <n v="884.01"/>
    <n v="7072.08"/>
    <n v="1768"/>
    <x v="4"/>
  </r>
  <r>
    <x v="81"/>
    <x v="0"/>
    <x v="0"/>
    <x v="0"/>
    <n v="2"/>
    <n v="1515.38"/>
    <n v="3030.76"/>
    <n v="548.46"/>
    <x v="4"/>
  </r>
  <r>
    <x v="81"/>
    <x v="4"/>
    <x v="0"/>
    <x v="0"/>
    <n v="10"/>
    <n v="762.1"/>
    <n v="7621"/>
    <n v="1192.75"/>
    <x v="4"/>
  </r>
  <r>
    <x v="81"/>
    <x v="3"/>
    <x v="2"/>
    <x v="7"/>
    <n v="10"/>
    <n v="2118.09"/>
    <n v="21180.9"/>
    <n v="2644.03"/>
    <x v="4"/>
  </r>
  <r>
    <x v="82"/>
    <x v="0"/>
    <x v="3"/>
    <x v="9"/>
    <n v="4"/>
    <n v="2439.1799999999998"/>
    <n v="9756.7199999999993"/>
    <n v="1869.28"/>
    <x v="5"/>
  </r>
  <r>
    <x v="83"/>
    <x v="3"/>
    <x v="2"/>
    <x v="7"/>
    <n v="4"/>
    <n v="1118.94"/>
    <n v="4475.76"/>
    <n v="990.46"/>
    <x v="6"/>
  </r>
  <r>
    <x v="83"/>
    <x v="2"/>
    <x v="2"/>
    <x v="8"/>
    <n v="10"/>
    <n v="2468.88"/>
    <n v="24688.799999999999"/>
    <n v="4178.63"/>
    <x v="6"/>
  </r>
  <r>
    <x v="83"/>
    <x v="4"/>
    <x v="3"/>
    <x v="9"/>
    <n v="3"/>
    <n v="2133.7800000000002"/>
    <n v="6401.34"/>
    <n v="1409.5"/>
    <x v="6"/>
  </r>
  <r>
    <x v="83"/>
    <x v="5"/>
    <x v="1"/>
    <x v="4"/>
    <n v="8"/>
    <n v="2248.23"/>
    <n v="17985.84"/>
    <n v="3294.67"/>
    <x v="6"/>
  </r>
  <r>
    <x v="84"/>
    <x v="1"/>
    <x v="0"/>
    <x v="0"/>
    <n v="2"/>
    <n v="2026.23"/>
    <n v="4052.46"/>
    <n v="571.07000000000005"/>
    <x v="0"/>
  </r>
  <r>
    <x v="84"/>
    <x v="3"/>
    <x v="2"/>
    <x v="8"/>
    <n v="2"/>
    <n v="2392.83"/>
    <n v="4785.66"/>
    <n v="637.96"/>
    <x v="0"/>
  </r>
  <r>
    <x v="84"/>
    <x v="4"/>
    <x v="1"/>
    <x v="4"/>
    <n v="7"/>
    <n v="606.51"/>
    <n v="4245.57"/>
    <n v="744.25"/>
    <x v="0"/>
  </r>
  <r>
    <x v="84"/>
    <x v="5"/>
    <x v="3"/>
    <x v="10"/>
    <n v="6"/>
    <n v="949.08"/>
    <n v="5694.48"/>
    <n v="841.66"/>
    <x v="0"/>
  </r>
  <r>
    <x v="84"/>
    <x v="3"/>
    <x v="1"/>
    <x v="6"/>
    <n v="3"/>
    <n v="576.61"/>
    <n v="1729.83"/>
    <n v="411.02"/>
    <x v="0"/>
  </r>
  <r>
    <x v="85"/>
    <x v="2"/>
    <x v="3"/>
    <x v="9"/>
    <n v="10"/>
    <n v="510.5"/>
    <n v="5105"/>
    <n v="571.16999999999996"/>
    <x v="1"/>
  </r>
  <r>
    <x v="85"/>
    <x v="3"/>
    <x v="2"/>
    <x v="11"/>
    <n v="9"/>
    <n v="2380.4499999999998"/>
    <n v="21424.05"/>
    <n v="4099.1099999999997"/>
    <x v="1"/>
  </r>
  <r>
    <x v="86"/>
    <x v="0"/>
    <x v="1"/>
    <x v="6"/>
    <n v="5"/>
    <n v="743.7"/>
    <n v="3718.5"/>
    <n v="504.85"/>
    <x v="2"/>
  </r>
  <r>
    <x v="87"/>
    <x v="1"/>
    <x v="3"/>
    <x v="10"/>
    <n v="2"/>
    <n v="2173.38"/>
    <n v="4346.76"/>
    <n v="760.57"/>
    <x v="3"/>
  </r>
  <r>
    <x v="87"/>
    <x v="2"/>
    <x v="0"/>
    <x v="2"/>
    <n v="3"/>
    <n v="1082.54"/>
    <n v="3247.62"/>
    <n v="325.52"/>
    <x v="3"/>
  </r>
  <r>
    <x v="87"/>
    <x v="1"/>
    <x v="2"/>
    <x v="7"/>
    <n v="7"/>
    <n v="874.63"/>
    <n v="6122.41"/>
    <n v="1225.9000000000001"/>
    <x v="3"/>
  </r>
  <r>
    <x v="87"/>
    <x v="1"/>
    <x v="1"/>
    <x v="4"/>
    <n v="9"/>
    <n v="1588.16"/>
    <n v="14293.44"/>
    <n v="3115.42"/>
    <x v="3"/>
  </r>
  <r>
    <x v="87"/>
    <x v="2"/>
    <x v="0"/>
    <x v="1"/>
    <n v="8"/>
    <n v="587.07000000000005"/>
    <n v="4696.5600000000004"/>
    <n v="742.21"/>
    <x v="3"/>
  </r>
  <r>
    <x v="88"/>
    <x v="0"/>
    <x v="0"/>
    <x v="0"/>
    <n v="2"/>
    <n v="1189.5999999999999"/>
    <n v="2379.1999999999998"/>
    <n v="499.49"/>
    <x v="4"/>
  </r>
  <r>
    <x v="88"/>
    <x v="0"/>
    <x v="0"/>
    <x v="0"/>
    <n v="3"/>
    <n v="588.66999999999996"/>
    <n v="1766.01"/>
    <n v="321.24"/>
    <x v="4"/>
  </r>
  <r>
    <x v="88"/>
    <x v="4"/>
    <x v="2"/>
    <x v="7"/>
    <n v="8"/>
    <n v="2461.64"/>
    <n v="19693.12"/>
    <n v="3382.88"/>
    <x v="4"/>
  </r>
  <r>
    <x v="89"/>
    <x v="4"/>
    <x v="0"/>
    <x v="1"/>
    <n v="1"/>
    <n v="1086.8900000000001"/>
    <n v="1086.8900000000001"/>
    <n v="115.83"/>
    <x v="5"/>
  </r>
  <r>
    <x v="89"/>
    <x v="1"/>
    <x v="0"/>
    <x v="0"/>
    <n v="5"/>
    <n v="1530.77"/>
    <n v="7653.85"/>
    <n v="1900.97"/>
    <x v="5"/>
  </r>
  <r>
    <x v="90"/>
    <x v="5"/>
    <x v="1"/>
    <x v="4"/>
    <n v="4"/>
    <n v="1072.22"/>
    <n v="4288.88"/>
    <n v="983.53"/>
    <x v="6"/>
  </r>
  <r>
    <x v="90"/>
    <x v="3"/>
    <x v="1"/>
    <x v="5"/>
    <n v="2"/>
    <n v="2098.6799999999998"/>
    <n v="4197.3599999999997"/>
    <n v="694.84"/>
    <x v="6"/>
  </r>
  <r>
    <x v="90"/>
    <x v="3"/>
    <x v="3"/>
    <x v="9"/>
    <n v="6"/>
    <n v="2447.4499999999998"/>
    <n v="14684.7"/>
    <n v="2561.46"/>
    <x v="6"/>
  </r>
  <r>
    <x v="90"/>
    <x v="1"/>
    <x v="1"/>
    <x v="5"/>
    <n v="2"/>
    <n v="1954.16"/>
    <n v="3908.32"/>
    <n v="437.1"/>
    <x v="6"/>
  </r>
  <r>
    <x v="91"/>
    <x v="2"/>
    <x v="1"/>
    <x v="5"/>
    <n v="2"/>
    <n v="660.14"/>
    <n v="1320.28"/>
    <n v="262.92"/>
    <x v="0"/>
  </r>
  <r>
    <x v="91"/>
    <x v="5"/>
    <x v="3"/>
    <x v="9"/>
    <n v="3"/>
    <n v="1879.53"/>
    <n v="5638.59"/>
    <n v="861.19"/>
    <x v="0"/>
  </r>
  <r>
    <x v="92"/>
    <x v="2"/>
    <x v="3"/>
    <x v="9"/>
    <n v="1"/>
    <n v="650.08000000000004"/>
    <n v="650.08000000000004"/>
    <n v="127.17"/>
    <x v="1"/>
  </r>
  <r>
    <x v="92"/>
    <x v="3"/>
    <x v="2"/>
    <x v="11"/>
    <n v="3"/>
    <n v="2197.34"/>
    <n v="6592.02"/>
    <n v="1329.7"/>
    <x v="1"/>
  </r>
  <r>
    <x v="92"/>
    <x v="2"/>
    <x v="0"/>
    <x v="2"/>
    <n v="2"/>
    <n v="971.99"/>
    <n v="1943.98"/>
    <n v="382.53"/>
    <x v="1"/>
  </r>
  <r>
    <x v="93"/>
    <x v="5"/>
    <x v="0"/>
    <x v="2"/>
    <n v="8"/>
    <n v="2397.65"/>
    <n v="19181.2"/>
    <n v="2988.47"/>
    <x v="2"/>
  </r>
  <r>
    <x v="93"/>
    <x v="4"/>
    <x v="2"/>
    <x v="7"/>
    <n v="6"/>
    <n v="1296.07"/>
    <n v="7776.42"/>
    <n v="1535.33"/>
    <x v="2"/>
  </r>
  <r>
    <x v="93"/>
    <x v="1"/>
    <x v="0"/>
    <x v="3"/>
    <n v="3"/>
    <n v="1498.09"/>
    <n v="4494.2700000000004"/>
    <n v="710.31"/>
    <x v="2"/>
  </r>
  <r>
    <x v="93"/>
    <x v="1"/>
    <x v="0"/>
    <x v="0"/>
    <n v="5"/>
    <n v="1908.08"/>
    <n v="9540.4"/>
    <n v="1261.0999999999999"/>
    <x v="2"/>
  </r>
  <r>
    <x v="94"/>
    <x v="4"/>
    <x v="3"/>
    <x v="10"/>
    <n v="2"/>
    <n v="771.46"/>
    <n v="1542.92"/>
    <n v="171.43"/>
    <x v="3"/>
  </r>
  <r>
    <x v="94"/>
    <x v="1"/>
    <x v="3"/>
    <x v="10"/>
    <n v="6"/>
    <n v="1835.68"/>
    <n v="11014.08"/>
    <n v="2273.65"/>
    <x v="3"/>
  </r>
  <r>
    <x v="94"/>
    <x v="0"/>
    <x v="1"/>
    <x v="5"/>
    <n v="3"/>
    <n v="1923.62"/>
    <n v="5770.86"/>
    <n v="1379.8"/>
    <x v="3"/>
  </r>
  <r>
    <x v="95"/>
    <x v="4"/>
    <x v="1"/>
    <x v="6"/>
    <n v="2"/>
    <n v="2470.27"/>
    <n v="4940.54"/>
    <n v="1081.04"/>
    <x v="4"/>
  </r>
  <r>
    <x v="95"/>
    <x v="1"/>
    <x v="3"/>
    <x v="10"/>
    <n v="6"/>
    <n v="1608.04"/>
    <n v="9648.24"/>
    <n v="1498.73"/>
    <x v="4"/>
  </r>
  <r>
    <x v="96"/>
    <x v="3"/>
    <x v="0"/>
    <x v="3"/>
    <n v="5"/>
    <n v="1296.32"/>
    <n v="6481.6"/>
    <n v="1345.19"/>
    <x v="5"/>
  </r>
  <r>
    <x v="96"/>
    <x v="0"/>
    <x v="3"/>
    <x v="9"/>
    <n v="10"/>
    <n v="647.5"/>
    <n v="6475"/>
    <n v="1591.92"/>
    <x v="5"/>
  </r>
  <r>
    <x v="97"/>
    <x v="1"/>
    <x v="3"/>
    <x v="9"/>
    <n v="9"/>
    <n v="1189.03"/>
    <n v="10701.27"/>
    <n v="2479.42"/>
    <x v="6"/>
  </r>
  <r>
    <x v="98"/>
    <x v="5"/>
    <x v="2"/>
    <x v="11"/>
    <n v="7"/>
    <n v="1505.73"/>
    <n v="10540.11"/>
    <n v="2426.67"/>
    <x v="0"/>
  </r>
  <r>
    <x v="98"/>
    <x v="4"/>
    <x v="2"/>
    <x v="8"/>
    <n v="3"/>
    <n v="823.93"/>
    <n v="2471.79"/>
    <n v="593.75"/>
    <x v="0"/>
  </r>
  <r>
    <x v="98"/>
    <x v="1"/>
    <x v="1"/>
    <x v="5"/>
    <n v="2"/>
    <n v="1001.21"/>
    <n v="2002.42"/>
    <n v="390.99"/>
    <x v="0"/>
  </r>
  <r>
    <x v="98"/>
    <x v="0"/>
    <x v="1"/>
    <x v="6"/>
    <n v="5"/>
    <n v="1728.86"/>
    <n v="8644.2999999999993"/>
    <n v="985.57"/>
    <x v="0"/>
  </r>
  <r>
    <x v="98"/>
    <x v="0"/>
    <x v="2"/>
    <x v="7"/>
    <n v="10"/>
    <n v="808.39"/>
    <n v="8083.9"/>
    <n v="1607.16"/>
    <x v="0"/>
  </r>
  <r>
    <x v="99"/>
    <x v="1"/>
    <x v="1"/>
    <x v="4"/>
    <n v="1"/>
    <n v="662.45"/>
    <n v="662.45"/>
    <n v="160.5"/>
    <x v="1"/>
  </r>
  <r>
    <x v="99"/>
    <x v="3"/>
    <x v="1"/>
    <x v="6"/>
    <n v="10"/>
    <n v="1333.17"/>
    <n v="13331.7"/>
    <n v="2611"/>
    <x v="1"/>
  </r>
  <r>
    <x v="99"/>
    <x v="3"/>
    <x v="1"/>
    <x v="5"/>
    <n v="8"/>
    <n v="989.76"/>
    <n v="7918.08"/>
    <n v="1750.71"/>
    <x v="1"/>
  </r>
  <r>
    <x v="99"/>
    <x v="3"/>
    <x v="1"/>
    <x v="12"/>
    <n v="2"/>
    <n v="1877.23"/>
    <n v="3754.46"/>
    <n v="464.47"/>
    <x v="1"/>
  </r>
  <r>
    <x v="99"/>
    <x v="0"/>
    <x v="3"/>
    <x v="9"/>
    <n v="4"/>
    <n v="1180.3900000000001"/>
    <n v="4721.5600000000004"/>
    <n v="573.91"/>
    <x v="1"/>
  </r>
  <r>
    <x v="100"/>
    <x v="5"/>
    <x v="1"/>
    <x v="12"/>
    <n v="3"/>
    <n v="2021.33"/>
    <n v="6063.99"/>
    <n v="1074.82"/>
    <x v="2"/>
  </r>
  <r>
    <x v="100"/>
    <x v="4"/>
    <x v="1"/>
    <x v="6"/>
    <n v="8"/>
    <n v="745.04"/>
    <n v="5960.32"/>
    <n v="997.99"/>
    <x v="2"/>
  </r>
  <r>
    <x v="100"/>
    <x v="3"/>
    <x v="0"/>
    <x v="3"/>
    <n v="5"/>
    <n v="2390.77"/>
    <n v="11953.85"/>
    <n v="2744.9"/>
    <x v="2"/>
  </r>
  <r>
    <x v="101"/>
    <x v="4"/>
    <x v="2"/>
    <x v="8"/>
    <n v="10"/>
    <n v="1942.26"/>
    <n v="19422.599999999999"/>
    <n v="2495.3200000000002"/>
    <x v="3"/>
  </r>
  <r>
    <x v="101"/>
    <x v="5"/>
    <x v="3"/>
    <x v="9"/>
    <n v="8"/>
    <n v="2258.15"/>
    <n v="18065.2"/>
    <n v="3154.28"/>
    <x v="3"/>
  </r>
  <r>
    <x v="102"/>
    <x v="2"/>
    <x v="3"/>
    <x v="10"/>
    <n v="4"/>
    <n v="1666.69"/>
    <n v="6666.76"/>
    <n v="715.33"/>
    <x v="4"/>
  </r>
  <r>
    <x v="102"/>
    <x v="3"/>
    <x v="3"/>
    <x v="9"/>
    <n v="5"/>
    <n v="1573.38"/>
    <n v="7866.9"/>
    <n v="1786.38"/>
    <x v="4"/>
  </r>
  <r>
    <x v="102"/>
    <x v="3"/>
    <x v="2"/>
    <x v="8"/>
    <n v="6"/>
    <n v="2027.71"/>
    <n v="12166.26"/>
    <n v="1884.44"/>
    <x v="4"/>
  </r>
  <r>
    <x v="102"/>
    <x v="1"/>
    <x v="0"/>
    <x v="2"/>
    <n v="6"/>
    <n v="1606.45"/>
    <n v="9638.7000000000007"/>
    <n v="1070.18"/>
    <x v="4"/>
  </r>
  <r>
    <x v="103"/>
    <x v="2"/>
    <x v="1"/>
    <x v="4"/>
    <n v="3"/>
    <n v="2450.17"/>
    <n v="7350.51"/>
    <n v="1169.3599999999999"/>
    <x v="5"/>
  </r>
  <r>
    <x v="103"/>
    <x v="5"/>
    <x v="1"/>
    <x v="6"/>
    <n v="4"/>
    <n v="1704.93"/>
    <n v="6819.72"/>
    <n v="1092.57"/>
    <x v="5"/>
  </r>
  <r>
    <x v="103"/>
    <x v="1"/>
    <x v="0"/>
    <x v="3"/>
    <n v="3"/>
    <n v="1927.18"/>
    <n v="5781.54"/>
    <n v="1275.3800000000001"/>
    <x v="5"/>
  </r>
  <r>
    <x v="103"/>
    <x v="1"/>
    <x v="3"/>
    <x v="10"/>
    <n v="10"/>
    <n v="2286.2600000000002"/>
    <n v="22862.6"/>
    <n v="2765.62"/>
    <x v="5"/>
  </r>
  <r>
    <x v="104"/>
    <x v="2"/>
    <x v="2"/>
    <x v="8"/>
    <n v="10"/>
    <n v="1978.64"/>
    <n v="19786.400000000001"/>
    <n v="2866.76"/>
    <x v="6"/>
  </r>
  <r>
    <x v="104"/>
    <x v="0"/>
    <x v="3"/>
    <x v="9"/>
    <n v="8"/>
    <n v="2131.5"/>
    <n v="17052"/>
    <n v="2647.39"/>
    <x v="6"/>
  </r>
  <r>
    <x v="104"/>
    <x v="0"/>
    <x v="0"/>
    <x v="1"/>
    <n v="10"/>
    <n v="1115.3599999999999"/>
    <n v="11153.6"/>
    <n v="2619.0300000000002"/>
    <x v="6"/>
  </r>
  <r>
    <x v="105"/>
    <x v="1"/>
    <x v="3"/>
    <x v="9"/>
    <n v="10"/>
    <n v="1655.27"/>
    <n v="16552.7"/>
    <n v="3446.44"/>
    <x v="0"/>
  </r>
  <r>
    <x v="106"/>
    <x v="0"/>
    <x v="2"/>
    <x v="7"/>
    <n v="10"/>
    <n v="2049.21"/>
    <n v="20492.099999999999"/>
    <n v="3217.84"/>
    <x v="1"/>
  </r>
  <r>
    <x v="106"/>
    <x v="5"/>
    <x v="2"/>
    <x v="11"/>
    <n v="10"/>
    <n v="2396.41"/>
    <n v="23964.1"/>
    <n v="2791.44"/>
    <x v="1"/>
  </r>
  <r>
    <x v="106"/>
    <x v="3"/>
    <x v="3"/>
    <x v="9"/>
    <n v="7"/>
    <n v="802.86"/>
    <n v="5620.02"/>
    <n v="1144.0999999999999"/>
    <x v="1"/>
  </r>
  <r>
    <x v="106"/>
    <x v="0"/>
    <x v="3"/>
    <x v="10"/>
    <n v="3"/>
    <n v="1537.37"/>
    <n v="4612.1099999999997"/>
    <n v="849.24"/>
    <x v="1"/>
  </r>
  <r>
    <x v="107"/>
    <x v="1"/>
    <x v="3"/>
    <x v="9"/>
    <n v="3"/>
    <n v="1419.33"/>
    <n v="4257.99"/>
    <n v="766.31"/>
    <x v="2"/>
  </r>
  <r>
    <x v="107"/>
    <x v="2"/>
    <x v="1"/>
    <x v="5"/>
    <n v="10"/>
    <n v="1468.36"/>
    <n v="14683.6"/>
    <n v="3576.93"/>
    <x v="2"/>
  </r>
  <r>
    <x v="107"/>
    <x v="0"/>
    <x v="1"/>
    <x v="6"/>
    <n v="5"/>
    <n v="2042.35"/>
    <n v="10211.75"/>
    <n v="2100.92"/>
    <x v="2"/>
  </r>
  <r>
    <x v="107"/>
    <x v="0"/>
    <x v="3"/>
    <x v="9"/>
    <n v="8"/>
    <n v="1197.6099999999999"/>
    <n v="9580.8799999999992"/>
    <n v="2299.94"/>
    <x v="2"/>
  </r>
  <r>
    <x v="108"/>
    <x v="3"/>
    <x v="1"/>
    <x v="4"/>
    <n v="10"/>
    <n v="1853.24"/>
    <n v="18532.400000000001"/>
    <n v="2908.74"/>
    <x v="3"/>
  </r>
  <r>
    <x v="108"/>
    <x v="5"/>
    <x v="1"/>
    <x v="6"/>
    <n v="5"/>
    <n v="584.13"/>
    <n v="2920.65"/>
    <n v="710.59"/>
    <x v="3"/>
  </r>
  <r>
    <x v="108"/>
    <x v="1"/>
    <x v="1"/>
    <x v="12"/>
    <n v="5"/>
    <n v="1994.68"/>
    <n v="9973.4"/>
    <n v="1317.47"/>
    <x v="3"/>
  </r>
  <r>
    <x v="109"/>
    <x v="4"/>
    <x v="1"/>
    <x v="6"/>
    <n v="2"/>
    <n v="1731.35"/>
    <n v="3462.7"/>
    <n v="651.07000000000005"/>
    <x v="4"/>
  </r>
  <r>
    <x v="109"/>
    <x v="0"/>
    <x v="0"/>
    <x v="2"/>
    <n v="4"/>
    <n v="604.98"/>
    <n v="2419.92"/>
    <n v="392.02"/>
    <x v="4"/>
  </r>
  <r>
    <x v="109"/>
    <x v="4"/>
    <x v="3"/>
    <x v="10"/>
    <n v="3"/>
    <n v="510.36"/>
    <n v="1531.08"/>
    <n v="279.5"/>
    <x v="4"/>
  </r>
  <r>
    <x v="110"/>
    <x v="2"/>
    <x v="3"/>
    <x v="9"/>
    <n v="4"/>
    <n v="2011.82"/>
    <n v="8047.28"/>
    <n v="1151.46"/>
    <x v="5"/>
  </r>
  <r>
    <x v="110"/>
    <x v="5"/>
    <x v="0"/>
    <x v="3"/>
    <n v="10"/>
    <n v="964.44"/>
    <n v="9644.4"/>
    <n v="2033.07"/>
    <x v="5"/>
  </r>
  <r>
    <x v="110"/>
    <x v="3"/>
    <x v="2"/>
    <x v="8"/>
    <n v="3"/>
    <n v="2367.85"/>
    <n v="7103.55"/>
    <n v="749.08"/>
    <x v="5"/>
  </r>
  <r>
    <x v="110"/>
    <x v="1"/>
    <x v="3"/>
    <x v="10"/>
    <n v="5"/>
    <n v="2253.4899999999998"/>
    <n v="11267.45"/>
    <n v="1142.4100000000001"/>
    <x v="5"/>
  </r>
  <r>
    <x v="111"/>
    <x v="1"/>
    <x v="0"/>
    <x v="0"/>
    <n v="5"/>
    <n v="1408.7"/>
    <n v="7043.5"/>
    <n v="1381.91"/>
    <x v="6"/>
  </r>
  <r>
    <x v="111"/>
    <x v="5"/>
    <x v="3"/>
    <x v="10"/>
    <n v="9"/>
    <n v="1436.04"/>
    <n v="12924.36"/>
    <n v="1666.23"/>
    <x v="6"/>
  </r>
  <r>
    <x v="111"/>
    <x v="5"/>
    <x v="1"/>
    <x v="6"/>
    <n v="8"/>
    <n v="1796.57"/>
    <n v="14372.56"/>
    <n v="2986.47"/>
    <x v="6"/>
  </r>
  <r>
    <x v="111"/>
    <x v="1"/>
    <x v="1"/>
    <x v="5"/>
    <n v="10"/>
    <n v="1848.8"/>
    <n v="18488"/>
    <n v="2384.4699999999998"/>
    <x v="6"/>
  </r>
  <r>
    <x v="111"/>
    <x v="5"/>
    <x v="3"/>
    <x v="9"/>
    <n v="9"/>
    <n v="1155.8499999999999"/>
    <n v="10402.65"/>
    <n v="1665.72"/>
    <x v="6"/>
  </r>
  <r>
    <x v="112"/>
    <x v="3"/>
    <x v="2"/>
    <x v="8"/>
    <n v="6"/>
    <n v="2371.65"/>
    <n v="14229.9"/>
    <n v="1437.57"/>
    <x v="0"/>
  </r>
  <r>
    <x v="112"/>
    <x v="0"/>
    <x v="2"/>
    <x v="8"/>
    <n v="5"/>
    <n v="2408.0700000000002"/>
    <n v="12040.35"/>
    <n v="1749.37"/>
    <x v="0"/>
  </r>
  <r>
    <x v="113"/>
    <x v="5"/>
    <x v="0"/>
    <x v="0"/>
    <n v="6"/>
    <n v="1885.54"/>
    <n v="11313.24"/>
    <n v="1236.75"/>
    <x v="1"/>
  </r>
  <r>
    <x v="113"/>
    <x v="0"/>
    <x v="3"/>
    <x v="9"/>
    <n v="3"/>
    <n v="1310.83"/>
    <n v="3932.49"/>
    <n v="689.67"/>
    <x v="1"/>
  </r>
  <r>
    <x v="113"/>
    <x v="4"/>
    <x v="1"/>
    <x v="4"/>
    <n v="5"/>
    <n v="1235.0899999999999"/>
    <n v="6175.45"/>
    <n v="822.12"/>
    <x v="1"/>
  </r>
  <r>
    <x v="113"/>
    <x v="3"/>
    <x v="3"/>
    <x v="10"/>
    <n v="8"/>
    <n v="1995.47"/>
    <n v="15963.76"/>
    <n v="3046.86"/>
    <x v="1"/>
  </r>
  <r>
    <x v="113"/>
    <x v="5"/>
    <x v="3"/>
    <x v="10"/>
    <n v="4"/>
    <n v="1860.68"/>
    <n v="7442.72"/>
    <n v="1409.44"/>
    <x v="1"/>
  </r>
  <r>
    <x v="114"/>
    <x v="1"/>
    <x v="3"/>
    <x v="9"/>
    <n v="2"/>
    <n v="2334.4899999999998"/>
    <n v="4668.9799999999996"/>
    <n v="545.48"/>
    <x v="2"/>
  </r>
  <r>
    <x v="114"/>
    <x v="1"/>
    <x v="2"/>
    <x v="7"/>
    <n v="9"/>
    <n v="799.7"/>
    <n v="7197.3"/>
    <n v="1073.96"/>
    <x v="2"/>
  </r>
  <r>
    <x v="114"/>
    <x v="1"/>
    <x v="3"/>
    <x v="10"/>
    <n v="4"/>
    <n v="1933.84"/>
    <n v="7735.36"/>
    <n v="1340.73"/>
    <x v="2"/>
  </r>
  <r>
    <x v="114"/>
    <x v="1"/>
    <x v="3"/>
    <x v="10"/>
    <n v="8"/>
    <n v="763.89"/>
    <n v="6111.12"/>
    <n v="991.92"/>
    <x v="2"/>
  </r>
  <r>
    <x v="114"/>
    <x v="5"/>
    <x v="0"/>
    <x v="1"/>
    <n v="5"/>
    <n v="1946.56"/>
    <n v="9732.7999999999993"/>
    <n v="1551.33"/>
    <x v="2"/>
  </r>
  <r>
    <x v="115"/>
    <x v="5"/>
    <x v="0"/>
    <x v="3"/>
    <n v="7"/>
    <n v="1189.06"/>
    <n v="8323.42"/>
    <n v="911.95"/>
    <x v="3"/>
  </r>
  <r>
    <x v="115"/>
    <x v="4"/>
    <x v="0"/>
    <x v="1"/>
    <n v="1"/>
    <n v="1074.18"/>
    <n v="1074.18"/>
    <n v="136.41999999999999"/>
    <x v="3"/>
  </r>
  <r>
    <x v="116"/>
    <x v="3"/>
    <x v="1"/>
    <x v="12"/>
    <n v="8"/>
    <n v="2239.2399999999998"/>
    <n v="17913.919999999998"/>
    <n v="4227.96"/>
    <x v="4"/>
  </r>
  <r>
    <x v="116"/>
    <x v="3"/>
    <x v="0"/>
    <x v="2"/>
    <n v="6"/>
    <n v="737.27"/>
    <n v="4423.62"/>
    <n v="1101.1600000000001"/>
    <x v="4"/>
  </r>
  <r>
    <x v="116"/>
    <x v="2"/>
    <x v="2"/>
    <x v="7"/>
    <n v="4"/>
    <n v="2169.64"/>
    <n v="8678.56"/>
    <n v="1852.24"/>
    <x v="4"/>
  </r>
  <r>
    <x v="116"/>
    <x v="3"/>
    <x v="3"/>
    <x v="9"/>
    <n v="9"/>
    <n v="1258.55"/>
    <n v="11326.95"/>
    <n v="1522.9"/>
    <x v="4"/>
  </r>
  <r>
    <x v="117"/>
    <x v="5"/>
    <x v="2"/>
    <x v="8"/>
    <n v="4"/>
    <n v="2374.8200000000002"/>
    <n v="9499.2800000000007"/>
    <n v="1983.01"/>
    <x v="5"/>
  </r>
  <r>
    <x v="117"/>
    <x v="5"/>
    <x v="0"/>
    <x v="1"/>
    <n v="10"/>
    <n v="2032.11"/>
    <n v="20321.099999999999"/>
    <n v="4725.95"/>
    <x v="5"/>
  </r>
  <r>
    <x v="117"/>
    <x v="1"/>
    <x v="2"/>
    <x v="11"/>
    <n v="2"/>
    <n v="701.79"/>
    <n v="1403.58"/>
    <n v="147.43"/>
    <x v="5"/>
  </r>
  <r>
    <x v="118"/>
    <x v="4"/>
    <x v="2"/>
    <x v="7"/>
    <n v="1"/>
    <n v="1304.53"/>
    <n v="1304.53"/>
    <n v="176.31"/>
    <x v="6"/>
  </r>
  <r>
    <x v="119"/>
    <x v="1"/>
    <x v="2"/>
    <x v="7"/>
    <n v="5"/>
    <n v="968.32"/>
    <n v="4841.6000000000004"/>
    <n v="1149.68"/>
    <x v="0"/>
  </r>
  <r>
    <x v="120"/>
    <x v="1"/>
    <x v="1"/>
    <x v="6"/>
    <n v="5"/>
    <n v="2252.52"/>
    <n v="11262.6"/>
    <n v="2791.48"/>
    <x v="1"/>
  </r>
  <r>
    <x v="120"/>
    <x v="1"/>
    <x v="2"/>
    <x v="8"/>
    <n v="5"/>
    <n v="1050.31"/>
    <n v="5251.55"/>
    <n v="963.7"/>
    <x v="1"/>
  </r>
  <r>
    <x v="120"/>
    <x v="2"/>
    <x v="2"/>
    <x v="7"/>
    <n v="7"/>
    <n v="1611.7"/>
    <n v="11281.9"/>
    <n v="1207.53"/>
    <x v="1"/>
  </r>
  <r>
    <x v="121"/>
    <x v="1"/>
    <x v="1"/>
    <x v="12"/>
    <n v="7"/>
    <n v="798.44"/>
    <n v="5589.08"/>
    <n v="874.52"/>
    <x v="2"/>
  </r>
  <r>
    <x v="121"/>
    <x v="3"/>
    <x v="3"/>
    <x v="10"/>
    <n v="4"/>
    <n v="1101.47"/>
    <n v="4405.88"/>
    <n v="908.21"/>
    <x v="2"/>
  </r>
  <r>
    <x v="121"/>
    <x v="4"/>
    <x v="0"/>
    <x v="1"/>
    <n v="7"/>
    <n v="1614.57"/>
    <n v="11301.99"/>
    <n v="1357.53"/>
    <x v="2"/>
  </r>
  <r>
    <x v="121"/>
    <x v="2"/>
    <x v="1"/>
    <x v="6"/>
    <n v="6"/>
    <n v="1793.41"/>
    <n v="10760.46"/>
    <n v="2564.58"/>
    <x v="2"/>
  </r>
  <r>
    <x v="122"/>
    <x v="5"/>
    <x v="2"/>
    <x v="11"/>
    <n v="5"/>
    <n v="1254.3399999999999"/>
    <n v="6271.7"/>
    <n v="1196.3"/>
    <x v="3"/>
  </r>
  <r>
    <x v="123"/>
    <x v="2"/>
    <x v="2"/>
    <x v="7"/>
    <n v="9"/>
    <n v="934.03"/>
    <n v="8406.27"/>
    <n v="1104.02"/>
    <x v="4"/>
  </r>
  <r>
    <x v="124"/>
    <x v="3"/>
    <x v="0"/>
    <x v="2"/>
    <n v="4"/>
    <n v="2424.16"/>
    <n v="9696.64"/>
    <n v="1140.3"/>
    <x v="5"/>
  </r>
  <r>
    <x v="124"/>
    <x v="4"/>
    <x v="2"/>
    <x v="7"/>
    <n v="10"/>
    <n v="1907.54"/>
    <n v="19075.400000000001"/>
    <n v="3042.43"/>
    <x v="5"/>
  </r>
  <r>
    <x v="124"/>
    <x v="2"/>
    <x v="1"/>
    <x v="5"/>
    <n v="7"/>
    <n v="1432.5"/>
    <n v="10027.5"/>
    <n v="1978.51"/>
    <x v="5"/>
  </r>
  <r>
    <x v="125"/>
    <x v="3"/>
    <x v="1"/>
    <x v="12"/>
    <n v="8"/>
    <n v="697.22"/>
    <n v="5577.76"/>
    <n v="1378.81"/>
    <x v="6"/>
  </r>
  <r>
    <x v="125"/>
    <x v="4"/>
    <x v="1"/>
    <x v="6"/>
    <n v="6"/>
    <n v="1125.8399999999999"/>
    <n v="6755.04"/>
    <n v="721.83"/>
    <x v="6"/>
  </r>
  <r>
    <x v="125"/>
    <x v="0"/>
    <x v="2"/>
    <x v="11"/>
    <n v="5"/>
    <n v="1606.62"/>
    <n v="8033.1"/>
    <n v="1507.05"/>
    <x v="6"/>
  </r>
  <r>
    <x v="126"/>
    <x v="4"/>
    <x v="1"/>
    <x v="6"/>
    <n v="4"/>
    <n v="1159.73"/>
    <n v="4638.92"/>
    <n v="728.2"/>
    <x v="0"/>
  </r>
  <r>
    <x v="126"/>
    <x v="0"/>
    <x v="3"/>
    <x v="9"/>
    <n v="5"/>
    <n v="2026.72"/>
    <n v="10133.6"/>
    <n v="1756.08"/>
    <x v="0"/>
  </r>
  <r>
    <x v="126"/>
    <x v="4"/>
    <x v="3"/>
    <x v="9"/>
    <n v="3"/>
    <n v="1965.54"/>
    <n v="5896.62"/>
    <n v="901.16"/>
    <x v="0"/>
  </r>
  <r>
    <x v="126"/>
    <x v="1"/>
    <x v="3"/>
    <x v="10"/>
    <n v="9"/>
    <n v="2480.65"/>
    <n v="22325.85"/>
    <n v="5438.25"/>
    <x v="0"/>
  </r>
  <r>
    <x v="127"/>
    <x v="4"/>
    <x v="0"/>
    <x v="3"/>
    <n v="1"/>
    <n v="1324.78"/>
    <n v="1324.78"/>
    <n v="299.91000000000003"/>
    <x v="1"/>
  </r>
  <r>
    <x v="128"/>
    <x v="1"/>
    <x v="2"/>
    <x v="11"/>
    <n v="4"/>
    <n v="1511.47"/>
    <n v="6045.88"/>
    <n v="943.04"/>
    <x v="2"/>
  </r>
  <r>
    <x v="129"/>
    <x v="5"/>
    <x v="3"/>
    <x v="9"/>
    <n v="1"/>
    <n v="513.22"/>
    <n v="513.22"/>
    <n v="93.79"/>
    <x v="3"/>
  </r>
  <r>
    <x v="129"/>
    <x v="0"/>
    <x v="0"/>
    <x v="0"/>
    <n v="9"/>
    <n v="2454.96"/>
    <n v="22094.639999999999"/>
    <n v="2266.2800000000002"/>
    <x v="3"/>
  </r>
  <r>
    <x v="129"/>
    <x v="4"/>
    <x v="3"/>
    <x v="10"/>
    <n v="2"/>
    <n v="2336.1"/>
    <n v="4672.2"/>
    <n v="834.73"/>
    <x v="3"/>
  </r>
  <r>
    <x v="129"/>
    <x v="3"/>
    <x v="2"/>
    <x v="7"/>
    <n v="9"/>
    <n v="1004.84"/>
    <n v="9043.56"/>
    <n v="1385.17"/>
    <x v="3"/>
  </r>
  <r>
    <x v="129"/>
    <x v="0"/>
    <x v="0"/>
    <x v="0"/>
    <n v="7"/>
    <n v="1418"/>
    <n v="9926"/>
    <n v="1354.71"/>
    <x v="3"/>
  </r>
  <r>
    <x v="130"/>
    <x v="1"/>
    <x v="1"/>
    <x v="4"/>
    <n v="1"/>
    <n v="687"/>
    <n v="687"/>
    <n v="107.78"/>
    <x v="4"/>
  </r>
  <r>
    <x v="130"/>
    <x v="3"/>
    <x v="3"/>
    <x v="10"/>
    <n v="1"/>
    <n v="1905.69"/>
    <n v="1905.69"/>
    <n v="214.21"/>
    <x v="4"/>
  </r>
  <r>
    <x v="131"/>
    <x v="1"/>
    <x v="0"/>
    <x v="3"/>
    <n v="4"/>
    <n v="922.83"/>
    <n v="3691.32"/>
    <n v="849.81"/>
    <x v="5"/>
  </r>
  <r>
    <x v="131"/>
    <x v="2"/>
    <x v="3"/>
    <x v="9"/>
    <n v="1"/>
    <n v="2348.3200000000002"/>
    <n v="2348.3200000000002"/>
    <n v="475.92"/>
    <x v="5"/>
  </r>
  <r>
    <x v="131"/>
    <x v="4"/>
    <x v="0"/>
    <x v="2"/>
    <n v="6"/>
    <n v="531.32000000000005"/>
    <n v="3187.92"/>
    <n v="417.85"/>
    <x v="5"/>
  </r>
  <r>
    <x v="132"/>
    <x v="3"/>
    <x v="0"/>
    <x v="0"/>
    <n v="3"/>
    <n v="1627.92"/>
    <n v="4883.76"/>
    <n v="903.52"/>
    <x v="6"/>
  </r>
  <r>
    <x v="132"/>
    <x v="5"/>
    <x v="1"/>
    <x v="12"/>
    <n v="3"/>
    <n v="2081"/>
    <n v="6243"/>
    <n v="1269.8"/>
    <x v="6"/>
  </r>
  <r>
    <x v="132"/>
    <x v="2"/>
    <x v="1"/>
    <x v="4"/>
    <n v="2"/>
    <n v="1374.18"/>
    <n v="2748.36"/>
    <n v="620.58000000000004"/>
    <x v="6"/>
  </r>
  <r>
    <x v="132"/>
    <x v="3"/>
    <x v="3"/>
    <x v="9"/>
    <n v="1"/>
    <n v="1768.25"/>
    <n v="1768.25"/>
    <n v="384.65"/>
    <x v="6"/>
  </r>
  <r>
    <x v="133"/>
    <x v="0"/>
    <x v="2"/>
    <x v="8"/>
    <n v="9"/>
    <n v="2382.29"/>
    <n v="21440.61"/>
    <n v="3532.92"/>
    <x v="0"/>
  </r>
  <r>
    <x v="133"/>
    <x v="5"/>
    <x v="3"/>
    <x v="10"/>
    <n v="10"/>
    <n v="1090.76"/>
    <n v="10907.6"/>
    <n v="1493.99"/>
    <x v="0"/>
  </r>
  <r>
    <x v="133"/>
    <x v="4"/>
    <x v="0"/>
    <x v="0"/>
    <n v="3"/>
    <n v="1260"/>
    <n v="3780"/>
    <n v="822.47"/>
    <x v="0"/>
  </r>
  <r>
    <x v="133"/>
    <x v="2"/>
    <x v="3"/>
    <x v="9"/>
    <n v="6"/>
    <n v="713.1"/>
    <n v="4278.6000000000004"/>
    <n v="431.19"/>
    <x v="0"/>
  </r>
  <r>
    <x v="134"/>
    <x v="3"/>
    <x v="1"/>
    <x v="5"/>
    <n v="2"/>
    <n v="765.01"/>
    <n v="1530.02"/>
    <n v="196.01"/>
    <x v="1"/>
  </r>
  <r>
    <x v="134"/>
    <x v="1"/>
    <x v="3"/>
    <x v="10"/>
    <n v="1"/>
    <n v="679.24"/>
    <n v="679.24"/>
    <n v="124.39"/>
    <x v="1"/>
  </r>
  <r>
    <x v="134"/>
    <x v="5"/>
    <x v="1"/>
    <x v="12"/>
    <n v="1"/>
    <n v="1083.69"/>
    <n v="1083.69"/>
    <n v="171.41"/>
    <x v="1"/>
  </r>
  <r>
    <x v="134"/>
    <x v="4"/>
    <x v="2"/>
    <x v="7"/>
    <n v="9"/>
    <n v="839.17"/>
    <n v="7552.53"/>
    <n v="1186.58"/>
    <x v="1"/>
  </r>
  <r>
    <x v="135"/>
    <x v="2"/>
    <x v="1"/>
    <x v="5"/>
    <n v="8"/>
    <n v="791.87"/>
    <n v="6334.96"/>
    <n v="792.38"/>
    <x v="2"/>
  </r>
  <r>
    <x v="135"/>
    <x v="4"/>
    <x v="3"/>
    <x v="9"/>
    <n v="8"/>
    <n v="2065.33"/>
    <n v="16522.64"/>
    <n v="2547.27"/>
    <x v="2"/>
  </r>
  <r>
    <x v="135"/>
    <x v="3"/>
    <x v="3"/>
    <x v="10"/>
    <n v="8"/>
    <n v="713.94"/>
    <n v="5711.52"/>
    <n v="832.16"/>
    <x v="2"/>
  </r>
  <r>
    <x v="136"/>
    <x v="0"/>
    <x v="3"/>
    <x v="9"/>
    <n v="8"/>
    <n v="1169.47"/>
    <n v="9355.76"/>
    <n v="2079.98"/>
    <x v="3"/>
  </r>
  <r>
    <x v="136"/>
    <x v="3"/>
    <x v="2"/>
    <x v="8"/>
    <n v="6"/>
    <n v="1706.42"/>
    <n v="10238.52"/>
    <n v="2091.67"/>
    <x v="3"/>
  </r>
  <r>
    <x v="136"/>
    <x v="0"/>
    <x v="1"/>
    <x v="6"/>
    <n v="7"/>
    <n v="2437.4499999999998"/>
    <n v="17062.150000000001"/>
    <n v="2452.12"/>
    <x v="3"/>
  </r>
  <r>
    <x v="137"/>
    <x v="2"/>
    <x v="2"/>
    <x v="8"/>
    <n v="7"/>
    <n v="1060.5999999999999"/>
    <n v="7424.2"/>
    <n v="1617.58"/>
    <x v="4"/>
  </r>
  <r>
    <x v="137"/>
    <x v="1"/>
    <x v="0"/>
    <x v="2"/>
    <n v="10"/>
    <n v="2494.5300000000002"/>
    <n v="24945.3"/>
    <n v="3167.78"/>
    <x v="4"/>
  </r>
  <r>
    <x v="137"/>
    <x v="0"/>
    <x v="0"/>
    <x v="1"/>
    <n v="4"/>
    <n v="1376.91"/>
    <n v="5507.64"/>
    <n v="791.45"/>
    <x v="4"/>
  </r>
  <r>
    <x v="137"/>
    <x v="2"/>
    <x v="0"/>
    <x v="1"/>
    <n v="8"/>
    <n v="778.36"/>
    <n v="6226.88"/>
    <n v="905.54"/>
    <x v="4"/>
  </r>
  <r>
    <x v="138"/>
    <x v="1"/>
    <x v="3"/>
    <x v="9"/>
    <n v="2"/>
    <n v="1398.13"/>
    <n v="2796.26"/>
    <n v="530.41999999999996"/>
    <x v="5"/>
  </r>
  <r>
    <x v="138"/>
    <x v="0"/>
    <x v="3"/>
    <x v="9"/>
    <n v="9"/>
    <n v="573.53"/>
    <n v="5161.7700000000004"/>
    <n v="1266"/>
    <x v="5"/>
  </r>
  <r>
    <x v="139"/>
    <x v="0"/>
    <x v="0"/>
    <x v="3"/>
    <n v="4"/>
    <n v="1815.2"/>
    <n v="7260.8"/>
    <n v="1112.73"/>
    <x v="6"/>
  </r>
  <r>
    <x v="139"/>
    <x v="5"/>
    <x v="0"/>
    <x v="1"/>
    <n v="6"/>
    <n v="2431.4299999999998"/>
    <n v="14588.58"/>
    <n v="2400.8200000000002"/>
    <x v="6"/>
  </r>
  <r>
    <x v="139"/>
    <x v="1"/>
    <x v="0"/>
    <x v="0"/>
    <n v="4"/>
    <n v="1521.35"/>
    <n v="6085.4"/>
    <n v="1082.0999999999999"/>
    <x v="6"/>
  </r>
  <r>
    <x v="139"/>
    <x v="1"/>
    <x v="2"/>
    <x v="8"/>
    <n v="6"/>
    <n v="1282.27"/>
    <n v="7693.62"/>
    <n v="1660.68"/>
    <x v="6"/>
  </r>
  <r>
    <x v="139"/>
    <x v="5"/>
    <x v="2"/>
    <x v="8"/>
    <n v="1"/>
    <n v="1465.54"/>
    <n v="1465.54"/>
    <n v="211.5"/>
    <x v="6"/>
  </r>
  <r>
    <x v="140"/>
    <x v="1"/>
    <x v="2"/>
    <x v="8"/>
    <n v="5"/>
    <n v="1186.1300000000001"/>
    <n v="5930.65"/>
    <n v="1290.75"/>
    <x v="0"/>
  </r>
  <r>
    <x v="141"/>
    <x v="2"/>
    <x v="1"/>
    <x v="12"/>
    <n v="2"/>
    <n v="1376.33"/>
    <n v="2752.66"/>
    <n v="562.96"/>
    <x v="1"/>
  </r>
  <r>
    <x v="141"/>
    <x v="2"/>
    <x v="0"/>
    <x v="0"/>
    <n v="1"/>
    <n v="2120.37"/>
    <n v="2120.37"/>
    <n v="248.64"/>
    <x v="1"/>
  </r>
  <r>
    <x v="141"/>
    <x v="2"/>
    <x v="0"/>
    <x v="2"/>
    <n v="4"/>
    <n v="1531.99"/>
    <n v="6127.96"/>
    <n v="1120.1099999999999"/>
    <x v="1"/>
  </r>
  <r>
    <x v="141"/>
    <x v="4"/>
    <x v="3"/>
    <x v="9"/>
    <n v="4"/>
    <n v="2095.5100000000002"/>
    <n v="8382.0400000000009"/>
    <n v="1630.01"/>
    <x v="1"/>
  </r>
  <r>
    <x v="142"/>
    <x v="3"/>
    <x v="3"/>
    <x v="10"/>
    <n v="10"/>
    <n v="2266.19"/>
    <n v="22661.9"/>
    <n v="3794.42"/>
    <x v="2"/>
  </r>
  <r>
    <x v="142"/>
    <x v="5"/>
    <x v="3"/>
    <x v="10"/>
    <n v="4"/>
    <n v="911.57"/>
    <n v="3646.28"/>
    <n v="776.11"/>
    <x v="2"/>
  </r>
  <r>
    <x v="142"/>
    <x v="2"/>
    <x v="0"/>
    <x v="2"/>
    <n v="6"/>
    <n v="1151.97"/>
    <n v="6911.82"/>
    <n v="1165.56"/>
    <x v="2"/>
  </r>
  <r>
    <x v="142"/>
    <x v="5"/>
    <x v="3"/>
    <x v="9"/>
    <n v="10"/>
    <n v="1277.28"/>
    <n v="12772.8"/>
    <n v="2029.36"/>
    <x v="2"/>
  </r>
  <r>
    <x v="143"/>
    <x v="2"/>
    <x v="1"/>
    <x v="12"/>
    <n v="10"/>
    <n v="845.06"/>
    <n v="8450.6"/>
    <n v="1698.89"/>
    <x v="3"/>
  </r>
  <r>
    <x v="143"/>
    <x v="4"/>
    <x v="0"/>
    <x v="2"/>
    <n v="6"/>
    <n v="735.72"/>
    <n v="4414.32"/>
    <n v="643.64"/>
    <x v="3"/>
  </r>
  <r>
    <x v="143"/>
    <x v="1"/>
    <x v="1"/>
    <x v="6"/>
    <n v="9"/>
    <n v="1276.93"/>
    <n v="11492.37"/>
    <n v="2177.39"/>
    <x v="3"/>
  </r>
  <r>
    <x v="144"/>
    <x v="0"/>
    <x v="3"/>
    <x v="10"/>
    <n v="8"/>
    <n v="1771"/>
    <n v="14168"/>
    <n v="2890.48"/>
    <x v="4"/>
  </r>
  <r>
    <x v="144"/>
    <x v="2"/>
    <x v="2"/>
    <x v="7"/>
    <n v="3"/>
    <n v="1479.28"/>
    <n v="4437.84"/>
    <n v="537.17999999999995"/>
    <x v="4"/>
  </r>
  <r>
    <x v="144"/>
    <x v="4"/>
    <x v="3"/>
    <x v="10"/>
    <n v="6"/>
    <n v="2403.6799999999998"/>
    <n v="14422.08"/>
    <n v="2490.5700000000002"/>
    <x v="4"/>
  </r>
  <r>
    <x v="144"/>
    <x v="3"/>
    <x v="3"/>
    <x v="9"/>
    <n v="7"/>
    <n v="1869.39"/>
    <n v="13085.73"/>
    <n v="2124.4"/>
    <x v="4"/>
  </r>
  <r>
    <x v="145"/>
    <x v="2"/>
    <x v="2"/>
    <x v="11"/>
    <n v="10"/>
    <n v="561.72"/>
    <n v="5617.2"/>
    <n v="1202.97"/>
    <x v="5"/>
  </r>
  <r>
    <x v="145"/>
    <x v="3"/>
    <x v="0"/>
    <x v="0"/>
    <n v="4"/>
    <n v="1575.22"/>
    <n v="6300.88"/>
    <n v="789.07"/>
    <x v="5"/>
  </r>
  <r>
    <x v="145"/>
    <x v="2"/>
    <x v="3"/>
    <x v="10"/>
    <n v="10"/>
    <n v="728.41"/>
    <n v="7284.1"/>
    <n v="1575.31"/>
    <x v="5"/>
  </r>
  <r>
    <x v="145"/>
    <x v="0"/>
    <x v="0"/>
    <x v="1"/>
    <n v="9"/>
    <n v="937.08"/>
    <n v="8433.7199999999993"/>
    <n v="1381.22"/>
    <x v="5"/>
  </r>
  <r>
    <x v="146"/>
    <x v="5"/>
    <x v="1"/>
    <x v="4"/>
    <n v="8"/>
    <n v="1025.6300000000001"/>
    <n v="8205.0400000000009"/>
    <n v="1881.66"/>
    <x v="6"/>
  </r>
  <r>
    <x v="146"/>
    <x v="0"/>
    <x v="3"/>
    <x v="10"/>
    <n v="4"/>
    <n v="919.76"/>
    <n v="3679.04"/>
    <n v="774.96"/>
    <x v="6"/>
  </r>
  <r>
    <x v="147"/>
    <x v="4"/>
    <x v="3"/>
    <x v="10"/>
    <n v="10"/>
    <n v="778.47"/>
    <n v="7784.7"/>
    <n v="1019.74"/>
    <x v="0"/>
  </r>
  <r>
    <x v="147"/>
    <x v="2"/>
    <x v="0"/>
    <x v="0"/>
    <n v="9"/>
    <n v="1062.17"/>
    <n v="9559.5300000000007"/>
    <n v="1728.51"/>
    <x v="0"/>
  </r>
  <r>
    <x v="147"/>
    <x v="0"/>
    <x v="1"/>
    <x v="5"/>
    <n v="10"/>
    <n v="1034.69"/>
    <n v="10346.9"/>
    <n v="2366.36"/>
    <x v="0"/>
  </r>
  <r>
    <x v="148"/>
    <x v="4"/>
    <x v="2"/>
    <x v="8"/>
    <n v="1"/>
    <n v="2484.9699999999998"/>
    <n v="2484.9699999999998"/>
    <n v="571.69000000000005"/>
    <x v="1"/>
  </r>
  <r>
    <x v="149"/>
    <x v="0"/>
    <x v="2"/>
    <x v="11"/>
    <n v="6"/>
    <n v="2156.96"/>
    <n v="12941.76"/>
    <n v="2772.4"/>
    <x v="2"/>
  </r>
  <r>
    <x v="149"/>
    <x v="3"/>
    <x v="3"/>
    <x v="9"/>
    <n v="3"/>
    <n v="1654.85"/>
    <n v="4964.55"/>
    <n v="696.56"/>
    <x v="2"/>
  </r>
  <r>
    <x v="150"/>
    <x v="0"/>
    <x v="3"/>
    <x v="10"/>
    <n v="2"/>
    <n v="1305.7"/>
    <n v="2611.4"/>
    <n v="554.85"/>
    <x v="3"/>
  </r>
  <r>
    <x v="150"/>
    <x v="0"/>
    <x v="1"/>
    <x v="12"/>
    <n v="8"/>
    <n v="1154.58"/>
    <n v="9236.64"/>
    <n v="927.09"/>
    <x v="3"/>
  </r>
  <r>
    <x v="150"/>
    <x v="3"/>
    <x v="0"/>
    <x v="1"/>
    <n v="6"/>
    <n v="2200.21"/>
    <n v="13201.26"/>
    <n v="2895.72"/>
    <x v="3"/>
  </r>
  <r>
    <x v="150"/>
    <x v="2"/>
    <x v="2"/>
    <x v="8"/>
    <n v="4"/>
    <n v="1489.43"/>
    <n v="5957.72"/>
    <n v="884.3"/>
    <x v="3"/>
  </r>
  <r>
    <x v="151"/>
    <x v="5"/>
    <x v="2"/>
    <x v="7"/>
    <n v="8"/>
    <n v="2076.61"/>
    <n v="16612.88"/>
    <n v="3889.46"/>
    <x v="4"/>
  </r>
  <r>
    <x v="151"/>
    <x v="4"/>
    <x v="0"/>
    <x v="3"/>
    <n v="8"/>
    <n v="532.55999999999995"/>
    <n v="4260.4799999999996"/>
    <n v="1020.02"/>
    <x v="4"/>
  </r>
  <r>
    <x v="151"/>
    <x v="0"/>
    <x v="3"/>
    <x v="9"/>
    <n v="1"/>
    <n v="2483.6799999999998"/>
    <n v="2483.6799999999998"/>
    <n v="407.75"/>
    <x v="4"/>
  </r>
  <r>
    <x v="152"/>
    <x v="5"/>
    <x v="1"/>
    <x v="6"/>
    <n v="5"/>
    <n v="686.68"/>
    <n v="3433.4"/>
    <n v="528.97"/>
    <x v="5"/>
  </r>
  <r>
    <x v="152"/>
    <x v="0"/>
    <x v="1"/>
    <x v="6"/>
    <n v="1"/>
    <n v="1292.68"/>
    <n v="1292.68"/>
    <n v="188.51"/>
    <x v="5"/>
  </r>
  <r>
    <x v="153"/>
    <x v="4"/>
    <x v="3"/>
    <x v="10"/>
    <n v="2"/>
    <n v="502.17"/>
    <n v="1004.34"/>
    <n v="172.27"/>
    <x v="6"/>
  </r>
  <r>
    <x v="153"/>
    <x v="5"/>
    <x v="2"/>
    <x v="7"/>
    <n v="8"/>
    <n v="518.57000000000005"/>
    <n v="4148.5600000000004"/>
    <n v="847.71"/>
    <x v="6"/>
  </r>
  <r>
    <x v="154"/>
    <x v="5"/>
    <x v="2"/>
    <x v="8"/>
    <n v="2"/>
    <n v="957.89"/>
    <n v="1915.78"/>
    <n v="217.25"/>
    <x v="0"/>
  </r>
  <r>
    <x v="154"/>
    <x v="4"/>
    <x v="0"/>
    <x v="0"/>
    <n v="6"/>
    <n v="2261.98"/>
    <n v="13571.88"/>
    <n v="1636.35"/>
    <x v="0"/>
  </r>
  <r>
    <x v="154"/>
    <x v="4"/>
    <x v="2"/>
    <x v="11"/>
    <n v="9"/>
    <n v="1626.58"/>
    <n v="14639.22"/>
    <n v="2804.11"/>
    <x v="0"/>
  </r>
  <r>
    <x v="154"/>
    <x v="3"/>
    <x v="3"/>
    <x v="9"/>
    <n v="4"/>
    <n v="1756.16"/>
    <n v="7024.64"/>
    <n v="861.97"/>
    <x v="0"/>
  </r>
  <r>
    <x v="155"/>
    <x v="5"/>
    <x v="3"/>
    <x v="10"/>
    <n v="2"/>
    <n v="2293.19"/>
    <n v="4586.38"/>
    <n v="554.96"/>
    <x v="1"/>
  </r>
  <r>
    <x v="155"/>
    <x v="2"/>
    <x v="3"/>
    <x v="9"/>
    <n v="7"/>
    <n v="1129.01"/>
    <n v="7903.07"/>
    <n v="956.07"/>
    <x v="1"/>
  </r>
  <r>
    <x v="155"/>
    <x v="2"/>
    <x v="0"/>
    <x v="2"/>
    <n v="9"/>
    <n v="1702"/>
    <n v="15318"/>
    <n v="3188.85"/>
    <x v="1"/>
  </r>
  <r>
    <x v="155"/>
    <x v="0"/>
    <x v="0"/>
    <x v="0"/>
    <n v="4"/>
    <n v="1535.5"/>
    <n v="6142"/>
    <n v="1083.6199999999999"/>
    <x v="1"/>
  </r>
  <r>
    <x v="155"/>
    <x v="4"/>
    <x v="3"/>
    <x v="9"/>
    <n v="1"/>
    <n v="2067.6"/>
    <n v="2067.6"/>
    <n v="452.94"/>
    <x v="1"/>
  </r>
  <r>
    <x v="156"/>
    <x v="1"/>
    <x v="3"/>
    <x v="10"/>
    <n v="4"/>
    <n v="1499.17"/>
    <n v="5996.68"/>
    <n v="1133.9100000000001"/>
    <x v="2"/>
  </r>
  <r>
    <x v="156"/>
    <x v="1"/>
    <x v="0"/>
    <x v="0"/>
    <n v="6"/>
    <n v="763.97"/>
    <n v="4583.82"/>
    <n v="1050.25"/>
    <x v="2"/>
  </r>
  <r>
    <x v="156"/>
    <x v="5"/>
    <x v="3"/>
    <x v="9"/>
    <n v="9"/>
    <n v="1865.88"/>
    <n v="16792.919999999998"/>
    <n v="3600.55"/>
    <x v="2"/>
  </r>
  <r>
    <x v="156"/>
    <x v="5"/>
    <x v="0"/>
    <x v="3"/>
    <n v="1"/>
    <n v="1024.3699999999999"/>
    <n v="1024.3699999999999"/>
    <n v="108.56"/>
    <x v="2"/>
  </r>
  <r>
    <x v="157"/>
    <x v="1"/>
    <x v="1"/>
    <x v="12"/>
    <n v="7"/>
    <n v="1903.62"/>
    <n v="13325.34"/>
    <n v="1497.29"/>
    <x v="3"/>
  </r>
  <r>
    <x v="157"/>
    <x v="4"/>
    <x v="2"/>
    <x v="8"/>
    <n v="2"/>
    <n v="1119.81"/>
    <n v="2239.62"/>
    <n v="395.73"/>
    <x v="3"/>
  </r>
  <r>
    <x v="157"/>
    <x v="0"/>
    <x v="2"/>
    <x v="7"/>
    <n v="6"/>
    <n v="1281.46"/>
    <n v="7688.76"/>
    <n v="1500.42"/>
    <x v="3"/>
  </r>
  <r>
    <x v="157"/>
    <x v="5"/>
    <x v="0"/>
    <x v="0"/>
    <n v="7"/>
    <n v="1959.92"/>
    <n v="13719.44"/>
    <n v="3113.9"/>
    <x v="3"/>
  </r>
  <r>
    <x v="158"/>
    <x v="2"/>
    <x v="0"/>
    <x v="1"/>
    <n v="2"/>
    <n v="1406.74"/>
    <n v="2813.48"/>
    <n v="538.29"/>
    <x v="4"/>
  </r>
  <r>
    <x v="158"/>
    <x v="4"/>
    <x v="2"/>
    <x v="11"/>
    <n v="1"/>
    <n v="1915.8"/>
    <n v="1915.8"/>
    <n v="393.17"/>
    <x v="4"/>
  </r>
  <r>
    <x v="159"/>
    <x v="2"/>
    <x v="1"/>
    <x v="5"/>
    <n v="3"/>
    <n v="1243.74"/>
    <n v="3731.22"/>
    <n v="792.76"/>
    <x v="5"/>
  </r>
  <r>
    <x v="159"/>
    <x v="5"/>
    <x v="0"/>
    <x v="3"/>
    <n v="6"/>
    <n v="2114.2199999999998"/>
    <n v="12685.32"/>
    <n v="1786.06"/>
    <x v="5"/>
  </r>
  <r>
    <x v="159"/>
    <x v="3"/>
    <x v="1"/>
    <x v="4"/>
    <n v="8"/>
    <n v="1410.4"/>
    <n v="11283.2"/>
    <n v="1737.82"/>
    <x v="5"/>
  </r>
  <r>
    <x v="159"/>
    <x v="1"/>
    <x v="2"/>
    <x v="8"/>
    <n v="3"/>
    <n v="1010.23"/>
    <n v="3030.69"/>
    <n v="349.85"/>
    <x v="5"/>
  </r>
  <r>
    <x v="160"/>
    <x v="5"/>
    <x v="2"/>
    <x v="7"/>
    <n v="9"/>
    <n v="505.14"/>
    <n v="4546.26"/>
    <n v="1040.2"/>
    <x v="6"/>
  </r>
  <r>
    <x v="161"/>
    <x v="5"/>
    <x v="0"/>
    <x v="1"/>
    <n v="6"/>
    <n v="1265.96"/>
    <n v="7595.76"/>
    <n v="930.58"/>
    <x v="0"/>
  </r>
  <r>
    <x v="161"/>
    <x v="2"/>
    <x v="3"/>
    <x v="10"/>
    <n v="6"/>
    <n v="996.53"/>
    <n v="5979.18"/>
    <n v="1419.33"/>
    <x v="0"/>
  </r>
  <r>
    <x v="162"/>
    <x v="4"/>
    <x v="0"/>
    <x v="0"/>
    <n v="2"/>
    <n v="1504.08"/>
    <n v="3008.16"/>
    <n v="707.79"/>
    <x v="1"/>
  </r>
  <r>
    <x v="162"/>
    <x v="3"/>
    <x v="2"/>
    <x v="7"/>
    <n v="1"/>
    <n v="2408.16"/>
    <n v="2408.16"/>
    <n v="265.70999999999998"/>
    <x v="1"/>
  </r>
  <r>
    <x v="162"/>
    <x v="2"/>
    <x v="1"/>
    <x v="5"/>
    <n v="6"/>
    <n v="672.77"/>
    <n v="4036.62"/>
    <n v="680.22"/>
    <x v="1"/>
  </r>
  <r>
    <x v="163"/>
    <x v="3"/>
    <x v="1"/>
    <x v="5"/>
    <n v="10"/>
    <n v="985.17"/>
    <n v="9851.7000000000007"/>
    <n v="1529.39"/>
    <x v="2"/>
  </r>
  <r>
    <x v="163"/>
    <x v="5"/>
    <x v="2"/>
    <x v="7"/>
    <n v="9"/>
    <n v="2020.96"/>
    <n v="18188.64"/>
    <n v="2487.64"/>
    <x v="2"/>
  </r>
  <r>
    <x v="164"/>
    <x v="5"/>
    <x v="0"/>
    <x v="2"/>
    <n v="9"/>
    <n v="1192.8499999999999"/>
    <n v="10735.65"/>
    <n v="2425.5700000000002"/>
    <x v="3"/>
  </r>
  <r>
    <x v="164"/>
    <x v="5"/>
    <x v="1"/>
    <x v="4"/>
    <n v="7"/>
    <n v="2198.0100000000002"/>
    <n v="15386.07"/>
    <n v="3216.95"/>
    <x v="3"/>
  </r>
  <r>
    <x v="164"/>
    <x v="4"/>
    <x v="2"/>
    <x v="7"/>
    <n v="4"/>
    <n v="1339.63"/>
    <n v="5358.52"/>
    <n v="1308.43"/>
    <x v="3"/>
  </r>
  <r>
    <x v="164"/>
    <x v="1"/>
    <x v="1"/>
    <x v="4"/>
    <n v="1"/>
    <n v="2342.5500000000002"/>
    <n v="2342.5500000000002"/>
    <n v="549.54999999999995"/>
    <x v="3"/>
  </r>
  <r>
    <x v="165"/>
    <x v="0"/>
    <x v="1"/>
    <x v="12"/>
    <n v="2"/>
    <n v="1661.54"/>
    <n v="3323.08"/>
    <n v="584.24"/>
    <x v="4"/>
  </r>
  <r>
    <x v="165"/>
    <x v="4"/>
    <x v="3"/>
    <x v="10"/>
    <n v="10"/>
    <n v="1635.64"/>
    <n v="16356.4"/>
    <n v="2702.85"/>
    <x v="4"/>
  </r>
  <r>
    <x v="165"/>
    <x v="3"/>
    <x v="2"/>
    <x v="8"/>
    <n v="5"/>
    <n v="2201.83"/>
    <n v="11009.15"/>
    <n v="2630.16"/>
    <x v="4"/>
  </r>
  <r>
    <x v="165"/>
    <x v="4"/>
    <x v="1"/>
    <x v="5"/>
    <n v="8"/>
    <n v="1043.9100000000001"/>
    <n v="8351.2800000000007"/>
    <n v="928.69"/>
    <x v="4"/>
  </r>
  <r>
    <x v="166"/>
    <x v="3"/>
    <x v="0"/>
    <x v="2"/>
    <n v="2"/>
    <n v="828.75"/>
    <n v="1657.5"/>
    <n v="281.62"/>
    <x v="5"/>
  </r>
  <r>
    <x v="166"/>
    <x v="5"/>
    <x v="0"/>
    <x v="0"/>
    <n v="4"/>
    <n v="1403.83"/>
    <n v="5615.32"/>
    <n v="951.81"/>
    <x v="5"/>
  </r>
  <r>
    <x v="167"/>
    <x v="5"/>
    <x v="2"/>
    <x v="7"/>
    <n v="5"/>
    <n v="2152.77"/>
    <n v="10763.85"/>
    <n v="2201.5500000000002"/>
    <x v="6"/>
  </r>
  <r>
    <x v="168"/>
    <x v="3"/>
    <x v="1"/>
    <x v="6"/>
    <n v="2"/>
    <n v="1922.31"/>
    <n v="3844.62"/>
    <n v="942.93"/>
    <x v="0"/>
  </r>
  <r>
    <x v="168"/>
    <x v="3"/>
    <x v="0"/>
    <x v="0"/>
    <n v="5"/>
    <n v="2140.1799999999998"/>
    <n v="10700.9"/>
    <n v="1349.17"/>
    <x v="0"/>
  </r>
  <r>
    <x v="169"/>
    <x v="5"/>
    <x v="2"/>
    <x v="11"/>
    <n v="8"/>
    <n v="703.81"/>
    <n v="5630.48"/>
    <n v="1233.48"/>
    <x v="1"/>
  </r>
  <r>
    <x v="169"/>
    <x v="2"/>
    <x v="0"/>
    <x v="3"/>
    <n v="4"/>
    <n v="761.43"/>
    <n v="3045.72"/>
    <n v="680.87"/>
    <x v="1"/>
  </r>
  <r>
    <x v="169"/>
    <x v="0"/>
    <x v="0"/>
    <x v="0"/>
    <n v="2"/>
    <n v="543.6"/>
    <n v="1087.2"/>
    <n v="119.23"/>
    <x v="1"/>
  </r>
  <r>
    <x v="169"/>
    <x v="2"/>
    <x v="3"/>
    <x v="10"/>
    <n v="2"/>
    <n v="2310.16"/>
    <n v="4620.32"/>
    <n v="1036.82"/>
    <x v="1"/>
  </r>
  <r>
    <x v="170"/>
    <x v="0"/>
    <x v="0"/>
    <x v="1"/>
    <n v="1"/>
    <n v="835.98"/>
    <n v="835.98"/>
    <n v="155.56"/>
    <x v="2"/>
  </r>
  <r>
    <x v="171"/>
    <x v="4"/>
    <x v="3"/>
    <x v="10"/>
    <n v="7"/>
    <n v="1866.43"/>
    <n v="13065.01"/>
    <n v="1645.16"/>
    <x v="3"/>
  </r>
  <r>
    <x v="171"/>
    <x v="1"/>
    <x v="2"/>
    <x v="8"/>
    <n v="5"/>
    <n v="1392.02"/>
    <n v="6960.1"/>
    <n v="851.18"/>
    <x v="3"/>
  </r>
  <r>
    <x v="171"/>
    <x v="3"/>
    <x v="2"/>
    <x v="7"/>
    <n v="5"/>
    <n v="1497.78"/>
    <n v="7488.9"/>
    <n v="1740.55"/>
    <x v="3"/>
  </r>
  <r>
    <x v="171"/>
    <x v="0"/>
    <x v="0"/>
    <x v="3"/>
    <n v="5"/>
    <n v="1266.03"/>
    <n v="6330.15"/>
    <n v="1031.0899999999999"/>
    <x v="3"/>
  </r>
  <r>
    <x v="172"/>
    <x v="0"/>
    <x v="2"/>
    <x v="7"/>
    <n v="9"/>
    <n v="2089.69"/>
    <n v="18807.21"/>
    <n v="4671.91"/>
    <x v="4"/>
  </r>
  <r>
    <x v="172"/>
    <x v="1"/>
    <x v="1"/>
    <x v="12"/>
    <n v="9"/>
    <n v="2062.87"/>
    <n v="18565.830000000002"/>
    <n v="2814.67"/>
    <x v="4"/>
  </r>
  <r>
    <x v="172"/>
    <x v="4"/>
    <x v="1"/>
    <x v="12"/>
    <n v="5"/>
    <n v="859.63"/>
    <n v="4298.1499999999996"/>
    <n v="635.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4FC7B-AD9A-4518-90F8-F53B5E687B29}" name="PivotTable5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7:D55" firstHeaderRow="0" firstDataRow="1" firstDataCol="1"/>
  <pivotFields count="10"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68" showAll="0"/>
    <pivotField dataField="1" numFmtId="168" showAll="0"/>
    <pivotField dataField="1" numFmtId="168" showAll="0"/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NGN)" fld="6" baseField="0" baseItem="0"/>
    <dataField name="Sum of Profit (NGN)" fld="7" baseField="0" baseItem="0"/>
    <dataField name="Count of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12335-C1F5-4413-A9AE-436F46C6A063}" name="PivotTable4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6:D44" firstHeaderRow="0" firstDataRow="1" firstDataCol="1"/>
  <pivotFields count="10">
    <pivotField axis="axisRow"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168" showAll="0"/>
    <pivotField dataField="1" numFmtId="168" showAll="0"/>
    <pivotField dataField="1" numFmtId="168" showAll="0"/>
    <pivotField showAll="0"/>
    <pivotField axis="axisRow" showAll="0">
      <items count="4">
        <item x="0"/>
        <item x="1"/>
        <item x="2"/>
        <item t="default"/>
      </items>
    </pivotField>
  </pivotFields>
  <rowFields count="2">
    <field x="9"/>
    <field x="0"/>
  </rowFields>
  <rowItems count="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NGN)" fld="6" baseField="0" baseItem="0"/>
    <dataField name="Sum of Profit (NGN)" fld="7" baseField="0" baseItem="0"/>
    <dataField name="Count of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59D02-0367-4E9E-BA73-51D4FF8375D4}" name="PivotTable3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6:E33" firstHeaderRow="0" firstDataRow="1" firstDataCol="1"/>
  <pivotFields count="10"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5"/>
        <item x="2"/>
        <item x="1"/>
        <item x="3"/>
        <item x="4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168" showAll="0"/>
    <pivotField dataField="1" numFmtId="168" showAll="0"/>
    <pivotField dataField="1" numFmtId="168"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Total Sales (NGN)" fld="6" baseField="0" baseItem="0"/>
    <dataField name="Sum of Profit (NGN)" fld="7" baseField="0" baseItem="0"/>
    <dataField name="Sum of Quantity Sold" fld="4" baseField="0" baseItem="0"/>
    <dataField name="Count of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6A85EC-FBD1-454D-8F37-BBAA4B894B39}" name="PivotTable2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9:D23" firstHeaderRow="0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 sortType="descending">
      <items count="14">
        <item x="9"/>
        <item x="8"/>
        <item x="4"/>
        <item x="6"/>
        <item x="10"/>
        <item x="1"/>
        <item x="12"/>
        <item x="11"/>
        <item x="3"/>
        <item x="2"/>
        <item x="7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numFmtId="168" showAll="0"/>
    <pivotField dataField="1" numFmtId="168" showAll="0"/>
    <pivotField dataField="1" numFmtId="168"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3"/>
  </rowFields>
  <rowItems count="14">
    <i>
      <x v="4"/>
    </i>
    <i>
      <x/>
    </i>
    <i>
      <x v="10"/>
    </i>
    <i>
      <x v="1"/>
    </i>
    <i>
      <x v="9"/>
    </i>
    <i>
      <x v="11"/>
    </i>
    <i>
      <x v="6"/>
    </i>
    <i>
      <x v="7"/>
    </i>
    <i>
      <x v="5"/>
    </i>
    <i>
      <x v="2"/>
    </i>
    <i>
      <x v="3"/>
    </i>
    <i>
      <x v="12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NGN)" fld="6" baseField="0" baseItem="0"/>
    <dataField name="Sum of Profit (NGN)" fld="7" baseField="0" baseItem="0"/>
    <dataField name="Sum of Quantity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A8501-BCAE-40E6-891C-29597ADFF3E9}" name="PivotTable1" cacheId="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D6" firstHeaderRow="0" firstDataRow="1" firstDataCol="1"/>
  <pivotFields count="10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" showAll="0"/>
    <pivotField numFmtId="168" showAll="0"/>
    <pivotField dataField="1" numFmtId="168" showAll="0"/>
    <pivotField dataField="1" numFmtId="168"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 (NGN)" fld="6" baseField="0" baseItem="0"/>
    <dataField name="Sum of Profit (NGN)" fld="7" baseField="0" baseItem="0"/>
    <dataField name="Sum of Quantity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F5DAEE-9E72-43E5-811D-C7774AD49A57}" name="SalesData" displayName="SalesData" ref="A1:K501" totalsRowShown="0" headerRowDxfId="11" headerRowBorderDxfId="12" tableBorderDxfId="13">
  <autoFilter ref="A1:K501" xr:uid="{1CF5DAEE-9E72-43E5-811D-C7774AD49A57}"/>
  <tableColumns count="11">
    <tableColumn id="1" xr3:uid="{4FD3968C-79C1-4F61-83DB-A7559B871E65}" name="Date" dataDxfId="10"/>
    <tableColumn id="2" xr3:uid="{1F1DA8CF-570A-46DE-8C42-FE0B1BE9BEE4}" name="Location" dataDxfId="9"/>
    <tableColumn id="3" xr3:uid="{3C636846-D314-40E7-BDC1-8BA1CAFFF08E}" name="Product Category" dataDxfId="8"/>
    <tableColumn id="4" xr3:uid="{D8FEB401-CBB5-4CF1-AFA9-51C05D9E64A8}" name="Product" dataDxfId="7"/>
    <tableColumn id="5" xr3:uid="{2FFE07A7-12A7-4670-8C6A-E37FD87A68B7}" name="Quantity Sold" dataDxfId="6"/>
    <tableColumn id="6" xr3:uid="{8B0BCB22-2886-41DD-A1DE-C5B684862ABF}" name="Unit Price (NGN)" dataDxfId="5"/>
    <tableColumn id="7" xr3:uid="{1A196611-777B-48B9-9BC1-7D32406E068F}" name="Total Sales (NGN)" dataDxfId="4"/>
    <tableColumn id="8" xr3:uid="{C380EBE5-72E5-42E8-9991-69052197716D}" name="Profit (NGN)" dataDxfId="3"/>
    <tableColumn id="11" xr3:uid="{40B93E5F-551C-47D0-8D6B-775FCD0414D1}" name="Day of the Week" dataDxfId="2">
      <calculatedColumnFormula>TEXT(SalesData[[#This Row],[Date]],"dddd")</calculatedColumnFormula>
    </tableColumn>
    <tableColumn id="12" xr3:uid="{E1A19AB1-30F8-4D9E-A2CE-3CC78C1E5060}" name="Month" dataDxfId="1">
      <calculatedColumnFormula>TEXT(SalesData[[#This Row],[Date]],"mmm")</calculatedColumnFormula>
    </tableColumn>
    <tableColumn id="13" xr3:uid="{B3A45119-129A-46A9-B560-BC520637BF1C}" name="Month Number" dataDxfId="0" dataCellStyle="Comma">
      <calculatedColumnFormula>MONTH(SalesData[[#This Row],[Date]])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selection sqref="A1:XFD1048576"/>
    </sheetView>
  </sheetViews>
  <sheetFormatPr defaultRowHeight="14.4" x14ac:dyDescent="0.3"/>
  <cols>
    <col min="1" max="1" width="18.109375" bestFit="1" customWidth="1"/>
    <col min="2" max="2" width="12.5546875" bestFit="1" customWidth="1"/>
    <col min="3" max="3" width="15.77734375" bestFit="1" customWidth="1"/>
    <col min="4" max="4" width="17.77734375" bestFit="1" customWidth="1"/>
    <col min="5" max="5" width="12.44140625" bestFit="1" customWidth="1"/>
    <col min="6" max="6" width="14.88671875" bestFit="1" customWidth="1"/>
    <col min="7" max="7" width="15.6640625" bestFit="1" customWidth="1"/>
    <col min="8" max="8" width="11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45292</v>
      </c>
      <c r="B2" t="s">
        <v>8</v>
      </c>
      <c r="C2" t="s">
        <v>14</v>
      </c>
      <c r="D2" t="s">
        <v>18</v>
      </c>
      <c r="E2">
        <v>4</v>
      </c>
      <c r="F2">
        <v>946.42</v>
      </c>
      <c r="G2">
        <v>3785.68</v>
      </c>
      <c r="H2">
        <v>796.77</v>
      </c>
    </row>
    <row r="3" spans="1:8" x14ac:dyDescent="0.3">
      <c r="A3" s="2">
        <v>45293</v>
      </c>
      <c r="B3" t="s">
        <v>9</v>
      </c>
      <c r="C3" t="s">
        <v>14</v>
      </c>
      <c r="D3" t="s">
        <v>19</v>
      </c>
      <c r="E3">
        <v>1</v>
      </c>
      <c r="F3">
        <v>559.59</v>
      </c>
      <c r="G3">
        <v>559.59</v>
      </c>
      <c r="H3">
        <v>74.31</v>
      </c>
    </row>
    <row r="4" spans="1:8" x14ac:dyDescent="0.3">
      <c r="A4" s="2">
        <v>45293</v>
      </c>
      <c r="B4" t="s">
        <v>10</v>
      </c>
      <c r="C4" t="s">
        <v>14</v>
      </c>
      <c r="D4" t="s">
        <v>20</v>
      </c>
      <c r="E4">
        <v>9</v>
      </c>
      <c r="F4">
        <v>1339.04</v>
      </c>
      <c r="G4">
        <v>12051.36</v>
      </c>
      <c r="H4">
        <v>2017.17</v>
      </c>
    </row>
    <row r="5" spans="1:8" x14ac:dyDescent="0.3">
      <c r="A5" s="2">
        <v>45293</v>
      </c>
      <c r="B5" t="s">
        <v>10</v>
      </c>
      <c r="C5" t="s">
        <v>14</v>
      </c>
      <c r="D5" t="s">
        <v>20</v>
      </c>
      <c r="E5">
        <v>7</v>
      </c>
      <c r="F5">
        <v>1180.5</v>
      </c>
      <c r="G5">
        <v>8263.5</v>
      </c>
      <c r="H5">
        <v>1019.07</v>
      </c>
    </row>
    <row r="6" spans="1:8" x14ac:dyDescent="0.3">
      <c r="A6" s="2">
        <v>45293</v>
      </c>
      <c r="B6" t="s">
        <v>9</v>
      </c>
      <c r="C6" t="s">
        <v>14</v>
      </c>
      <c r="D6" t="s">
        <v>21</v>
      </c>
      <c r="E6">
        <v>7</v>
      </c>
      <c r="F6">
        <v>693.43</v>
      </c>
      <c r="G6">
        <v>4854.01</v>
      </c>
      <c r="H6">
        <v>1102.46</v>
      </c>
    </row>
    <row r="7" spans="1:8" x14ac:dyDescent="0.3">
      <c r="A7" s="2">
        <v>45293</v>
      </c>
      <c r="B7" t="s">
        <v>11</v>
      </c>
      <c r="C7" t="s">
        <v>15</v>
      </c>
      <c r="D7" t="s">
        <v>22</v>
      </c>
      <c r="E7">
        <v>8</v>
      </c>
      <c r="F7">
        <v>1572.46</v>
      </c>
      <c r="G7">
        <v>12579.68</v>
      </c>
      <c r="H7">
        <v>3094.19</v>
      </c>
    </row>
    <row r="8" spans="1:8" x14ac:dyDescent="0.3">
      <c r="A8" s="2">
        <v>45294</v>
      </c>
      <c r="B8" t="s">
        <v>8</v>
      </c>
      <c r="C8" t="s">
        <v>15</v>
      </c>
      <c r="D8" t="s">
        <v>23</v>
      </c>
      <c r="E8">
        <v>10</v>
      </c>
      <c r="F8">
        <v>884.58</v>
      </c>
      <c r="G8">
        <v>8845.7999999999993</v>
      </c>
      <c r="H8">
        <v>976.87</v>
      </c>
    </row>
    <row r="9" spans="1:8" x14ac:dyDescent="0.3">
      <c r="A9" s="2">
        <v>45295</v>
      </c>
      <c r="B9" t="s">
        <v>11</v>
      </c>
      <c r="C9" t="s">
        <v>15</v>
      </c>
      <c r="D9" t="s">
        <v>22</v>
      </c>
      <c r="E9">
        <v>4</v>
      </c>
      <c r="F9">
        <v>2232.9699999999998</v>
      </c>
      <c r="G9">
        <v>8931.8799999999992</v>
      </c>
      <c r="H9">
        <v>1402.47</v>
      </c>
    </row>
    <row r="10" spans="1:8" x14ac:dyDescent="0.3">
      <c r="A10" s="2">
        <v>45295</v>
      </c>
      <c r="B10" t="s">
        <v>8</v>
      </c>
      <c r="C10" t="s">
        <v>15</v>
      </c>
      <c r="D10" t="s">
        <v>24</v>
      </c>
      <c r="E10">
        <v>6</v>
      </c>
      <c r="F10">
        <v>1210.54</v>
      </c>
      <c r="G10">
        <v>7263.24</v>
      </c>
      <c r="H10">
        <v>1456.47</v>
      </c>
    </row>
    <row r="11" spans="1:8" x14ac:dyDescent="0.3">
      <c r="A11" s="2">
        <v>45296</v>
      </c>
      <c r="B11" t="s">
        <v>8</v>
      </c>
      <c r="C11" t="s">
        <v>16</v>
      </c>
      <c r="D11" t="s">
        <v>25</v>
      </c>
      <c r="E11">
        <v>4</v>
      </c>
      <c r="F11">
        <v>826.8</v>
      </c>
      <c r="G11">
        <v>3307.2</v>
      </c>
      <c r="H11">
        <v>518.96</v>
      </c>
    </row>
    <row r="12" spans="1:8" x14ac:dyDescent="0.3">
      <c r="A12" s="2">
        <v>45297</v>
      </c>
      <c r="B12" t="s">
        <v>12</v>
      </c>
      <c r="C12" t="s">
        <v>16</v>
      </c>
      <c r="D12" t="s">
        <v>25</v>
      </c>
      <c r="E12">
        <v>6</v>
      </c>
      <c r="F12">
        <v>2185.6999999999998</v>
      </c>
      <c r="G12">
        <v>13114.2</v>
      </c>
      <c r="H12">
        <v>2837.91</v>
      </c>
    </row>
    <row r="13" spans="1:8" x14ac:dyDescent="0.3">
      <c r="A13" s="2">
        <v>45297</v>
      </c>
      <c r="B13" t="s">
        <v>9</v>
      </c>
      <c r="C13" t="s">
        <v>14</v>
      </c>
      <c r="D13" t="s">
        <v>18</v>
      </c>
      <c r="E13">
        <v>7</v>
      </c>
      <c r="F13">
        <v>1035.48</v>
      </c>
      <c r="G13">
        <v>7248.36</v>
      </c>
      <c r="H13">
        <v>954.23</v>
      </c>
    </row>
    <row r="14" spans="1:8" x14ac:dyDescent="0.3">
      <c r="A14" s="2">
        <v>45297</v>
      </c>
      <c r="B14" t="s">
        <v>11</v>
      </c>
      <c r="C14" t="s">
        <v>15</v>
      </c>
      <c r="D14" t="s">
        <v>24</v>
      </c>
      <c r="E14">
        <v>8</v>
      </c>
      <c r="F14">
        <v>1291.26</v>
      </c>
      <c r="G14">
        <v>10330.08</v>
      </c>
      <c r="H14">
        <v>2450.11</v>
      </c>
    </row>
    <row r="15" spans="1:8" x14ac:dyDescent="0.3">
      <c r="A15" s="2">
        <v>45297</v>
      </c>
      <c r="B15" t="s">
        <v>10</v>
      </c>
      <c r="C15" t="s">
        <v>16</v>
      </c>
      <c r="D15" t="s">
        <v>26</v>
      </c>
      <c r="E15">
        <v>3</v>
      </c>
      <c r="F15">
        <v>993.26</v>
      </c>
      <c r="G15">
        <v>2979.78</v>
      </c>
      <c r="H15">
        <v>548.89</v>
      </c>
    </row>
    <row r="16" spans="1:8" x14ac:dyDescent="0.3">
      <c r="A16" s="2">
        <v>45297</v>
      </c>
      <c r="B16" t="s">
        <v>9</v>
      </c>
      <c r="C16" t="s">
        <v>17</v>
      </c>
      <c r="D16" t="s">
        <v>27</v>
      </c>
      <c r="E16">
        <v>6</v>
      </c>
      <c r="F16">
        <v>938.64</v>
      </c>
      <c r="G16">
        <v>5631.84</v>
      </c>
      <c r="H16">
        <v>1405.88</v>
      </c>
    </row>
    <row r="17" spans="1:8" x14ac:dyDescent="0.3">
      <c r="A17" s="2">
        <v>45298</v>
      </c>
      <c r="B17" t="s">
        <v>8</v>
      </c>
      <c r="C17" t="s">
        <v>14</v>
      </c>
      <c r="D17" t="s">
        <v>21</v>
      </c>
      <c r="E17">
        <v>2</v>
      </c>
      <c r="F17">
        <v>805.68</v>
      </c>
      <c r="G17">
        <v>1611.36</v>
      </c>
      <c r="H17">
        <v>199.8</v>
      </c>
    </row>
    <row r="18" spans="1:8" x14ac:dyDescent="0.3">
      <c r="A18" s="2">
        <v>45298</v>
      </c>
      <c r="B18" t="s">
        <v>9</v>
      </c>
      <c r="C18" t="s">
        <v>17</v>
      </c>
      <c r="D18" t="s">
        <v>28</v>
      </c>
      <c r="E18">
        <v>7</v>
      </c>
      <c r="F18">
        <v>1263.24</v>
      </c>
      <c r="G18">
        <v>8842.68</v>
      </c>
      <c r="H18">
        <v>2205.5300000000002</v>
      </c>
    </row>
    <row r="19" spans="1:8" x14ac:dyDescent="0.3">
      <c r="A19" s="2">
        <v>45298</v>
      </c>
      <c r="B19" t="s">
        <v>10</v>
      </c>
      <c r="C19" t="s">
        <v>15</v>
      </c>
      <c r="D19" t="s">
        <v>22</v>
      </c>
      <c r="E19">
        <v>2</v>
      </c>
      <c r="F19">
        <v>1863.42</v>
      </c>
      <c r="G19">
        <v>3726.84</v>
      </c>
      <c r="H19">
        <v>672.86</v>
      </c>
    </row>
    <row r="20" spans="1:8" x14ac:dyDescent="0.3">
      <c r="A20" s="2">
        <v>45298</v>
      </c>
      <c r="B20" t="s">
        <v>8</v>
      </c>
      <c r="C20" t="s">
        <v>15</v>
      </c>
      <c r="D20" t="s">
        <v>22</v>
      </c>
      <c r="E20">
        <v>5</v>
      </c>
      <c r="F20">
        <v>1369.53</v>
      </c>
      <c r="G20">
        <v>6847.65</v>
      </c>
      <c r="H20">
        <v>1150.81</v>
      </c>
    </row>
    <row r="21" spans="1:8" x14ac:dyDescent="0.3">
      <c r="A21" s="2">
        <v>45299</v>
      </c>
      <c r="B21" t="s">
        <v>8</v>
      </c>
      <c r="C21" t="s">
        <v>16</v>
      </c>
      <c r="D21" t="s">
        <v>25</v>
      </c>
      <c r="E21">
        <v>2</v>
      </c>
      <c r="F21">
        <v>2241.04</v>
      </c>
      <c r="G21">
        <v>4482.08</v>
      </c>
      <c r="H21">
        <v>648.86</v>
      </c>
    </row>
    <row r="22" spans="1:8" x14ac:dyDescent="0.3">
      <c r="A22" s="2">
        <v>45299</v>
      </c>
      <c r="B22" t="s">
        <v>9</v>
      </c>
      <c r="C22" t="s">
        <v>16</v>
      </c>
      <c r="D22" t="s">
        <v>29</v>
      </c>
      <c r="E22">
        <v>6</v>
      </c>
      <c r="F22">
        <v>2025.02</v>
      </c>
      <c r="G22">
        <v>12150.12</v>
      </c>
      <c r="H22">
        <v>2198.04</v>
      </c>
    </row>
    <row r="23" spans="1:8" x14ac:dyDescent="0.3">
      <c r="A23" s="2">
        <v>45299</v>
      </c>
      <c r="B23" t="s">
        <v>10</v>
      </c>
      <c r="C23" t="s">
        <v>14</v>
      </c>
      <c r="D23" t="s">
        <v>18</v>
      </c>
      <c r="E23">
        <v>8</v>
      </c>
      <c r="F23">
        <v>538.95000000000005</v>
      </c>
      <c r="G23">
        <v>4311.6000000000004</v>
      </c>
      <c r="H23">
        <v>1032.05</v>
      </c>
    </row>
    <row r="24" spans="1:8" x14ac:dyDescent="0.3">
      <c r="A24" s="2">
        <v>45300</v>
      </c>
      <c r="B24" t="s">
        <v>11</v>
      </c>
      <c r="C24" t="s">
        <v>14</v>
      </c>
      <c r="D24" t="s">
        <v>20</v>
      </c>
      <c r="E24">
        <v>10</v>
      </c>
      <c r="F24">
        <v>2393.9</v>
      </c>
      <c r="G24">
        <v>23939</v>
      </c>
      <c r="H24">
        <v>2701.47</v>
      </c>
    </row>
    <row r="25" spans="1:8" x14ac:dyDescent="0.3">
      <c r="A25" s="2">
        <v>45300</v>
      </c>
      <c r="B25" t="s">
        <v>12</v>
      </c>
      <c r="C25" t="s">
        <v>14</v>
      </c>
      <c r="D25" t="s">
        <v>20</v>
      </c>
      <c r="E25">
        <v>3</v>
      </c>
      <c r="F25">
        <v>1819.5</v>
      </c>
      <c r="G25">
        <v>5458.5</v>
      </c>
      <c r="H25">
        <v>1321.11</v>
      </c>
    </row>
    <row r="26" spans="1:8" x14ac:dyDescent="0.3">
      <c r="A26" s="2">
        <v>45301</v>
      </c>
      <c r="B26" t="s">
        <v>8</v>
      </c>
      <c r="C26" t="s">
        <v>17</v>
      </c>
      <c r="D26" t="s">
        <v>28</v>
      </c>
      <c r="E26">
        <v>9</v>
      </c>
      <c r="F26">
        <v>2010.53</v>
      </c>
      <c r="G26">
        <v>18094.77</v>
      </c>
      <c r="H26">
        <v>3681.93</v>
      </c>
    </row>
    <row r="27" spans="1:8" x14ac:dyDescent="0.3">
      <c r="A27" s="2">
        <v>45301</v>
      </c>
      <c r="B27" t="s">
        <v>13</v>
      </c>
      <c r="C27" t="s">
        <v>15</v>
      </c>
      <c r="D27" t="s">
        <v>30</v>
      </c>
      <c r="E27">
        <v>6</v>
      </c>
      <c r="F27">
        <v>1376.2</v>
      </c>
      <c r="G27">
        <v>8257.2000000000007</v>
      </c>
      <c r="H27">
        <v>1466.78</v>
      </c>
    </row>
    <row r="28" spans="1:8" x14ac:dyDescent="0.3">
      <c r="A28" s="2">
        <v>45301</v>
      </c>
      <c r="B28" t="s">
        <v>12</v>
      </c>
      <c r="C28" t="s">
        <v>16</v>
      </c>
      <c r="D28" t="s">
        <v>29</v>
      </c>
      <c r="E28">
        <v>2</v>
      </c>
      <c r="F28">
        <v>1176.17</v>
      </c>
      <c r="G28">
        <v>2352.34</v>
      </c>
      <c r="H28">
        <v>442.82</v>
      </c>
    </row>
    <row r="29" spans="1:8" x14ac:dyDescent="0.3">
      <c r="A29" s="2">
        <v>45302</v>
      </c>
      <c r="B29" t="s">
        <v>13</v>
      </c>
      <c r="C29" t="s">
        <v>16</v>
      </c>
      <c r="D29" t="s">
        <v>29</v>
      </c>
      <c r="E29">
        <v>2</v>
      </c>
      <c r="F29">
        <v>1915.68</v>
      </c>
      <c r="G29">
        <v>3831.36</v>
      </c>
      <c r="H29">
        <v>416.97</v>
      </c>
    </row>
    <row r="30" spans="1:8" x14ac:dyDescent="0.3">
      <c r="A30" s="2">
        <v>45302</v>
      </c>
      <c r="B30" t="s">
        <v>11</v>
      </c>
      <c r="C30" t="s">
        <v>14</v>
      </c>
      <c r="D30" t="s">
        <v>18</v>
      </c>
      <c r="E30">
        <v>2</v>
      </c>
      <c r="F30">
        <v>1528.31</v>
      </c>
      <c r="G30">
        <v>3056.62</v>
      </c>
      <c r="H30">
        <v>433.34</v>
      </c>
    </row>
    <row r="31" spans="1:8" x14ac:dyDescent="0.3">
      <c r="A31" s="2">
        <v>45302</v>
      </c>
      <c r="B31" t="s">
        <v>9</v>
      </c>
      <c r="C31" t="s">
        <v>16</v>
      </c>
      <c r="D31" t="s">
        <v>25</v>
      </c>
      <c r="E31">
        <v>3</v>
      </c>
      <c r="F31">
        <v>1946.71</v>
      </c>
      <c r="G31">
        <v>5840.13</v>
      </c>
      <c r="H31">
        <v>1357</v>
      </c>
    </row>
    <row r="32" spans="1:8" x14ac:dyDescent="0.3">
      <c r="A32" s="2">
        <v>45302</v>
      </c>
      <c r="B32" t="s">
        <v>13</v>
      </c>
      <c r="C32" t="s">
        <v>17</v>
      </c>
      <c r="D32" t="s">
        <v>28</v>
      </c>
      <c r="E32">
        <v>8</v>
      </c>
      <c r="F32">
        <v>2114.9899999999998</v>
      </c>
      <c r="G32">
        <v>16919.919999999998</v>
      </c>
      <c r="H32">
        <v>2175.25</v>
      </c>
    </row>
    <row r="33" spans="1:8" x14ac:dyDescent="0.3">
      <c r="A33" s="2">
        <v>45302</v>
      </c>
      <c r="B33" t="s">
        <v>13</v>
      </c>
      <c r="C33" t="s">
        <v>17</v>
      </c>
      <c r="D33" t="s">
        <v>27</v>
      </c>
      <c r="E33">
        <v>7</v>
      </c>
      <c r="F33">
        <v>1322.2</v>
      </c>
      <c r="G33">
        <v>9255.4</v>
      </c>
      <c r="H33">
        <v>2124.81</v>
      </c>
    </row>
    <row r="34" spans="1:8" x14ac:dyDescent="0.3">
      <c r="A34" s="2">
        <v>45303</v>
      </c>
      <c r="B34" t="s">
        <v>12</v>
      </c>
      <c r="C34" t="s">
        <v>14</v>
      </c>
      <c r="D34" t="s">
        <v>19</v>
      </c>
      <c r="E34">
        <v>6</v>
      </c>
      <c r="F34">
        <v>2101.19</v>
      </c>
      <c r="G34">
        <v>12607.14</v>
      </c>
      <c r="H34">
        <v>1467.35</v>
      </c>
    </row>
    <row r="35" spans="1:8" x14ac:dyDescent="0.3">
      <c r="A35" s="2">
        <v>45304</v>
      </c>
      <c r="B35" t="s">
        <v>13</v>
      </c>
      <c r="C35" t="s">
        <v>17</v>
      </c>
      <c r="D35" t="s">
        <v>28</v>
      </c>
      <c r="E35">
        <v>7</v>
      </c>
      <c r="F35">
        <v>866.98</v>
      </c>
      <c r="G35">
        <v>6068.86</v>
      </c>
      <c r="H35">
        <v>1028.03</v>
      </c>
    </row>
    <row r="36" spans="1:8" x14ac:dyDescent="0.3">
      <c r="A36" s="2">
        <v>45304</v>
      </c>
      <c r="B36" t="s">
        <v>13</v>
      </c>
      <c r="C36" t="s">
        <v>17</v>
      </c>
      <c r="D36" t="s">
        <v>28</v>
      </c>
      <c r="E36">
        <v>1</v>
      </c>
      <c r="F36">
        <v>1804.29</v>
      </c>
      <c r="G36">
        <v>1804.29</v>
      </c>
      <c r="H36">
        <v>326.74</v>
      </c>
    </row>
    <row r="37" spans="1:8" x14ac:dyDescent="0.3">
      <c r="A37" s="2">
        <v>45305</v>
      </c>
      <c r="B37" t="s">
        <v>11</v>
      </c>
      <c r="C37" t="s">
        <v>16</v>
      </c>
      <c r="D37" t="s">
        <v>29</v>
      </c>
      <c r="E37">
        <v>7</v>
      </c>
      <c r="F37">
        <v>1471.28</v>
      </c>
      <c r="G37">
        <v>10298.959999999999</v>
      </c>
      <c r="H37">
        <v>1360.1</v>
      </c>
    </row>
    <row r="38" spans="1:8" x14ac:dyDescent="0.3">
      <c r="A38" s="2">
        <v>45306</v>
      </c>
      <c r="B38" t="s">
        <v>11</v>
      </c>
      <c r="C38" t="s">
        <v>16</v>
      </c>
      <c r="D38" t="s">
        <v>26</v>
      </c>
      <c r="E38">
        <v>1</v>
      </c>
      <c r="F38">
        <v>2470.62</v>
      </c>
      <c r="G38">
        <v>2470.62</v>
      </c>
      <c r="H38">
        <v>345.34</v>
      </c>
    </row>
    <row r="39" spans="1:8" x14ac:dyDescent="0.3">
      <c r="A39" s="2">
        <v>45307</v>
      </c>
      <c r="B39" t="s">
        <v>13</v>
      </c>
      <c r="C39" t="s">
        <v>17</v>
      </c>
      <c r="D39" t="s">
        <v>27</v>
      </c>
      <c r="E39">
        <v>3</v>
      </c>
      <c r="F39">
        <v>879.8</v>
      </c>
      <c r="G39">
        <v>2639.4</v>
      </c>
      <c r="H39">
        <v>350.13</v>
      </c>
    </row>
    <row r="40" spans="1:8" x14ac:dyDescent="0.3">
      <c r="A40" s="2">
        <v>45307</v>
      </c>
      <c r="B40" t="s">
        <v>9</v>
      </c>
      <c r="C40" t="s">
        <v>14</v>
      </c>
      <c r="D40" t="s">
        <v>18</v>
      </c>
      <c r="E40">
        <v>1</v>
      </c>
      <c r="F40">
        <v>600.28</v>
      </c>
      <c r="G40">
        <v>600.28</v>
      </c>
      <c r="H40">
        <v>102.96</v>
      </c>
    </row>
    <row r="41" spans="1:8" x14ac:dyDescent="0.3">
      <c r="A41" s="2">
        <v>45307</v>
      </c>
      <c r="B41" t="s">
        <v>9</v>
      </c>
      <c r="C41" t="s">
        <v>16</v>
      </c>
      <c r="D41" t="s">
        <v>29</v>
      </c>
      <c r="E41">
        <v>9</v>
      </c>
      <c r="F41">
        <v>660.22</v>
      </c>
      <c r="G41">
        <v>5941.98</v>
      </c>
      <c r="H41">
        <v>759.82</v>
      </c>
    </row>
    <row r="42" spans="1:8" x14ac:dyDescent="0.3">
      <c r="A42" s="2">
        <v>45308</v>
      </c>
      <c r="B42" t="s">
        <v>9</v>
      </c>
      <c r="C42" t="s">
        <v>16</v>
      </c>
      <c r="D42" t="s">
        <v>26</v>
      </c>
      <c r="E42">
        <v>2</v>
      </c>
      <c r="F42">
        <v>2383.19</v>
      </c>
      <c r="G42">
        <v>4766.38</v>
      </c>
      <c r="H42">
        <v>883.93</v>
      </c>
    </row>
    <row r="43" spans="1:8" x14ac:dyDescent="0.3">
      <c r="A43" s="2">
        <v>45309</v>
      </c>
      <c r="B43" t="s">
        <v>10</v>
      </c>
      <c r="C43" t="s">
        <v>14</v>
      </c>
      <c r="D43" t="s">
        <v>21</v>
      </c>
      <c r="E43">
        <v>7</v>
      </c>
      <c r="F43">
        <v>1814.75</v>
      </c>
      <c r="G43">
        <v>12703.25</v>
      </c>
      <c r="H43">
        <v>2347.36</v>
      </c>
    </row>
    <row r="44" spans="1:8" x14ac:dyDescent="0.3">
      <c r="A44" s="2">
        <v>45309</v>
      </c>
      <c r="B44" t="s">
        <v>8</v>
      </c>
      <c r="C44" t="s">
        <v>15</v>
      </c>
      <c r="D44" t="s">
        <v>24</v>
      </c>
      <c r="E44">
        <v>6</v>
      </c>
      <c r="F44">
        <v>977.37</v>
      </c>
      <c r="G44">
        <v>5864.22</v>
      </c>
      <c r="H44">
        <v>934.57</v>
      </c>
    </row>
    <row r="45" spans="1:8" x14ac:dyDescent="0.3">
      <c r="A45" s="2">
        <v>45309</v>
      </c>
      <c r="B45" t="s">
        <v>13</v>
      </c>
      <c r="C45" t="s">
        <v>15</v>
      </c>
      <c r="D45" t="s">
        <v>30</v>
      </c>
      <c r="E45">
        <v>6</v>
      </c>
      <c r="F45">
        <v>2358.04</v>
      </c>
      <c r="G45">
        <v>14148.24</v>
      </c>
      <c r="H45">
        <v>3400.67</v>
      </c>
    </row>
    <row r="46" spans="1:8" x14ac:dyDescent="0.3">
      <c r="A46" s="2">
        <v>45309</v>
      </c>
      <c r="B46" t="s">
        <v>12</v>
      </c>
      <c r="C46" t="s">
        <v>17</v>
      </c>
      <c r="D46" t="s">
        <v>28</v>
      </c>
      <c r="E46">
        <v>2</v>
      </c>
      <c r="F46">
        <v>1575.27</v>
      </c>
      <c r="G46">
        <v>3150.54</v>
      </c>
      <c r="H46">
        <v>554.13</v>
      </c>
    </row>
    <row r="47" spans="1:8" x14ac:dyDescent="0.3">
      <c r="A47" s="2">
        <v>45309</v>
      </c>
      <c r="B47" t="s">
        <v>9</v>
      </c>
      <c r="C47" t="s">
        <v>15</v>
      </c>
      <c r="D47" t="s">
        <v>22</v>
      </c>
      <c r="E47">
        <v>4</v>
      </c>
      <c r="F47">
        <v>1239.05</v>
      </c>
      <c r="G47">
        <v>4956.2</v>
      </c>
      <c r="H47">
        <v>612.89</v>
      </c>
    </row>
    <row r="48" spans="1:8" x14ac:dyDescent="0.3">
      <c r="A48" s="2">
        <v>45310</v>
      </c>
      <c r="B48" t="s">
        <v>13</v>
      </c>
      <c r="C48" t="s">
        <v>14</v>
      </c>
      <c r="D48" t="s">
        <v>18</v>
      </c>
      <c r="E48">
        <v>2</v>
      </c>
      <c r="F48">
        <v>2377.86</v>
      </c>
      <c r="G48">
        <v>4755.72</v>
      </c>
      <c r="H48">
        <v>571.37</v>
      </c>
    </row>
    <row r="49" spans="1:8" x14ac:dyDescent="0.3">
      <c r="A49" s="2">
        <v>45310</v>
      </c>
      <c r="B49" t="s">
        <v>10</v>
      </c>
      <c r="C49" t="s">
        <v>14</v>
      </c>
      <c r="D49" t="s">
        <v>20</v>
      </c>
      <c r="E49">
        <v>5</v>
      </c>
      <c r="F49">
        <v>1063.51</v>
      </c>
      <c r="G49">
        <v>5317.55</v>
      </c>
      <c r="H49">
        <v>699.76</v>
      </c>
    </row>
    <row r="50" spans="1:8" x14ac:dyDescent="0.3">
      <c r="A50" s="2">
        <v>45310</v>
      </c>
      <c r="B50" t="s">
        <v>13</v>
      </c>
      <c r="C50" t="s">
        <v>16</v>
      </c>
      <c r="D50" t="s">
        <v>25</v>
      </c>
      <c r="E50">
        <v>5</v>
      </c>
      <c r="F50">
        <v>1510.82</v>
      </c>
      <c r="G50">
        <v>7554.1</v>
      </c>
      <c r="H50">
        <v>1039.96</v>
      </c>
    </row>
    <row r="51" spans="1:8" x14ac:dyDescent="0.3">
      <c r="A51" s="2">
        <v>45311</v>
      </c>
      <c r="B51" t="s">
        <v>8</v>
      </c>
      <c r="C51" t="s">
        <v>17</v>
      </c>
      <c r="D51" t="s">
        <v>27</v>
      </c>
      <c r="E51">
        <v>1</v>
      </c>
      <c r="F51">
        <v>507.09</v>
      </c>
      <c r="G51">
        <v>507.09</v>
      </c>
      <c r="H51">
        <v>109.36</v>
      </c>
    </row>
    <row r="52" spans="1:8" x14ac:dyDescent="0.3">
      <c r="A52" s="2">
        <v>45312</v>
      </c>
      <c r="B52" t="s">
        <v>13</v>
      </c>
      <c r="C52" t="s">
        <v>16</v>
      </c>
      <c r="D52" t="s">
        <v>25</v>
      </c>
      <c r="E52">
        <v>8</v>
      </c>
      <c r="F52">
        <v>1603.36</v>
      </c>
      <c r="G52">
        <v>12826.88</v>
      </c>
      <c r="H52">
        <v>2105.5700000000002</v>
      </c>
    </row>
    <row r="53" spans="1:8" x14ac:dyDescent="0.3">
      <c r="A53" s="2">
        <v>45312</v>
      </c>
      <c r="B53" t="s">
        <v>9</v>
      </c>
      <c r="C53" t="s">
        <v>14</v>
      </c>
      <c r="D53" t="s">
        <v>21</v>
      </c>
      <c r="E53">
        <v>3</v>
      </c>
      <c r="F53">
        <v>1591.18</v>
      </c>
      <c r="G53">
        <v>4773.54</v>
      </c>
      <c r="H53">
        <v>1074.95</v>
      </c>
    </row>
    <row r="54" spans="1:8" x14ac:dyDescent="0.3">
      <c r="A54" s="2">
        <v>45312</v>
      </c>
      <c r="B54" t="s">
        <v>13</v>
      </c>
      <c r="C54" t="s">
        <v>16</v>
      </c>
      <c r="D54" t="s">
        <v>26</v>
      </c>
      <c r="E54">
        <v>3</v>
      </c>
      <c r="F54">
        <v>583.66</v>
      </c>
      <c r="G54">
        <v>1750.98</v>
      </c>
      <c r="H54">
        <v>270.87</v>
      </c>
    </row>
    <row r="55" spans="1:8" x14ac:dyDescent="0.3">
      <c r="A55" s="2">
        <v>45313</v>
      </c>
      <c r="B55" t="s">
        <v>9</v>
      </c>
      <c r="C55" t="s">
        <v>16</v>
      </c>
      <c r="D55" t="s">
        <v>25</v>
      </c>
      <c r="E55">
        <v>4</v>
      </c>
      <c r="F55">
        <v>1833.87</v>
      </c>
      <c r="G55">
        <v>7335.48</v>
      </c>
      <c r="H55">
        <v>1122.71</v>
      </c>
    </row>
    <row r="56" spans="1:8" x14ac:dyDescent="0.3">
      <c r="A56" s="2">
        <v>45313</v>
      </c>
      <c r="B56" t="s">
        <v>12</v>
      </c>
      <c r="C56" t="s">
        <v>17</v>
      </c>
      <c r="D56" t="s">
        <v>28</v>
      </c>
      <c r="E56">
        <v>4</v>
      </c>
      <c r="F56">
        <v>2229.21</v>
      </c>
      <c r="G56">
        <v>8916.84</v>
      </c>
      <c r="H56">
        <v>2197.38</v>
      </c>
    </row>
    <row r="57" spans="1:8" x14ac:dyDescent="0.3">
      <c r="A57" s="2">
        <v>45313</v>
      </c>
      <c r="B57" t="s">
        <v>11</v>
      </c>
      <c r="C57" t="s">
        <v>17</v>
      </c>
      <c r="D57" t="s">
        <v>28</v>
      </c>
      <c r="E57">
        <v>3</v>
      </c>
      <c r="F57">
        <v>1973.13</v>
      </c>
      <c r="G57">
        <v>5919.39</v>
      </c>
      <c r="H57">
        <v>886.89</v>
      </c>
    </row>
    <row r="58" spans="1:8" x14ac:dyDescent="0.3">
      <c r="A58" s="2">
        <v>45314</v>
      </c>
      <c r="B58" t="s">
        <v>11</v>
      </c>
      <c r="C58" t="s">
        <v>15</v>
      </c>
      <c r="D58" t="s">
        <v>24</v>
      </c>
      <c r="E58">
        <v>2</v>
      </c>
      <c r="F58">
        <v>1265.08</v>
      </c>
      <c r="G58">
        <v>2530.16</v>
      </c>
      <c r="H58">
        <v>267.70999999999998</v>
      </c>
    </row>
    <row r="59" spans="1:8" x14ac:dyDescent="0.3">
      <c r="A59" s="2">
        <v>45314</v>
      </c>
      <c r="B59" t="s">
        <v>12</v>
      </c>
      <c r="C59" t="s">
        <v>16</v>
      </c>
      <c r="D59" t="s">
        <v>29</v>
      </c>
      <c r="E59">
        <v>8</v>
      </c>
      <c r="F59">
        <v>1199.32</v>
      </c>
      <c r="G59">
        <v>9594.56</v>
      </c>
      <c r="H59">
        <v>2140.36</v>
      </c>
    </row>
    <row r="60" spans="1:8" x14ac:dyDescent="0.3">
      <c r="A60" s="2">
        <v>45315</v>
      </c>
      <c r="B60" t="s">
        <v>10</v>
      </c>
      <c r="C60" t="s">
        <v>14</v>
      </c>
      <c r="D60" t="s">
        <v>20</v>
      </c>
      <c r="E60">
        <v>7</v>
      </c>
      <c r="F60">
        <v>1156.52</v>
      </c>
      <c r="G60">
        <v>8095.64</v>
      </c>
      <c r="H60">
        <v>1859.19</v>
      </c>
    </row>
    <row r="61" spans="1:8" x14ac:dyDescent="0.3">
      <c r="A61" s="2">
        <v>45315</v>
      </c>
      <c r="B61" t="s">
        <v>10</v>
      </c>
      <c r="C61" t="s">
        <v>15</v>
      </c>
      <c r="D61" t="s">
        <v>30</v>
      </c>
      <c r="E61">
        <v>9</v>
      </c>
      <c r="F61">
        <v>1162.3</v>
      </c>
      <c r="G61">
        <v>10460.700000000001</v>
      </c>
      <c r="H61">
        <v>1089.3800000000001</v>
      </c>
    </row>
    <row r="62" spans="1:8" x14ac:dyDescent="0.3">
      <c r="A62" s="2">
        <v>45316</v>
      </c>
      <c r="B62" t="s">
        <v>10</v>
      </c>
      <c r="C62" t="s">
        <v>15</v>
      </c>
      <c r="D62" t="s">
        <v>22</v>
      </c>
      <c r="E62">
        <v>2</v>
      </c>
      <c r="F62">
        <v>1693.14</v>
      </c>
      <c r="G62">
        <v>3386.28</v>
      </c>
      <c r="H62">
        <v>514.22</v>
      </c>
    </row>
    <row r="63" spans="1:8" x14ac:dyDescent="0.3">
      <c r="A63" s="2">
        <v>45316</v>
      </c>
      <c r="B63" t="s">
        <v>13</v>
      </c>
      <c r="C63" t="s">
        <v>17</v>
      </c>
      <c r="D63" t="s">
        <v>28</v>
      </c>
      <c r="E63">
        <v>7</v>
      </c>
      <c r="F63">
        <v>2299.0100000000002</v>
      </c>
      <c r="G63">
        <v>16093.07</v>
      </c>
      <c r="H63">
        <v>2068.15</v>
      </c>
    </row>
    <row r="64" spans="1:8" x14ac:dyDescent="0.3">
      <c r="A64" s="2">
        <v>45317</v>
      </c>
      <c r="B64" t="s">
        <v>10</v>
      </c>
      <c r="C64" t="s">
        <v>14</v>
      </c>
      <c r="D64" t="s">
        <v>20</v>
      </c>
      <c r="E64">
        <v>6</v>
      </c>
      <c r="F64">
        <v>1362.59</v>
      </c>
      <c r="G64">
        <v>8175.54</v>
      </c>
      <c r="H64">
        <v>1981.19</v>
      </c>
    </row>
    <row r="65" spans="1:8" x14ac:dyDescent="0.3">
      <c r="A65" s="2">
        <v>45317</v>
      </c>
      <c r="B65" t="s">
        <v>10</v>
      </c>
      <c r="C65" t="s">
        <v>15</v>
      </c>
      <c r="D65" t="s">
        <v>22</v>
      </c>
      <c r="E65">
        <v>5</v>
      </c>
      <c r="F65">
        <v>1514.25</v>
      </c>
      <c r="G65">
        <v>7571.25</v>
      </c>
      <c r="H65">
        <v>1514.51</v>
      </c>
    </row>
    <row r="66" spans="1:8" x14ac:dyDescent="0.3">
      <c r="A66" s="2">
        <v>45317</v>
      </c>
      <c r="B66" t="s">
        <v>11</v>
      </c>
      <c r="C66" t="s">
        <v>17</v>
      </c>
      <c r="D66" t="s">
        <v>27</v>
      </c>
      <c r="E66">
        <v>9</v>
      </c>
      <c r="F66">
        <v>754.58</v>
      </c>
      <c r="G66">
        <v>6791.22</v>
      </c>
      <c r="H66">
        <v>1107.42</v>
      </c>
    </row>
    <row r="67" spans="1:8" x14ac:dyDescent="0.3">
      <c r="A67" s="2">
        <v>45317</v>
      </c>
      <c r="B67" t="s">
        <v>13</v>
      </c>
      <c r="C67" t="s">
        <v>16</v>
      </c>
      <c r="D67" t="s">
        <v>25</v>
      </c>
      <c r="E67">
        <v>10</v>
      </c>
      <c r="F67">
        <v>1101.9000000000001</v>
      </c>
      <c r="G67">
        <v>11019</v>
      </c>
      <c r="H67">
        <v>2007.56</v>
      </c>
    </row>
    <row r="68" spans="1:8" x14ac:dyDescent="0.3">
      <c r="A68" s="2">
        <v>45318</v>
      </c>
      <c r="B68" t="s">
        <v>10</v>
      </c>
      <c r="C68" t="s">
        <v>15</v>
      </c>
      <c r="D68" t="s">
        <v>24</v>
      </c>
      <c r="E68">
        <v>7</v>
      </c>
      <c r="F68">
        <v>2071.52</v>
      </c>
      <c r="G68">
        <v>14500.64</v>
      </c>
      <c r="H68">
        <v>2769.61</v>
      </c>
    </row>
    <row r="69" spans="1:8" x14ac:dyDescent="0.3">
      <c r="A69" s="2">
        <v>45318</v>
      </c>
      <c r="B69" t="s">
        <v>8</v>
      </c>
      <c r="C69" t="s">
        <v>17</v>
      </c>
      <c r="D69" t="s">
        <v>27</v>
      </c>
      <c r="E69">
        <v>8</v>
      </c>
      <c r="F69">
        <v>1851.25</v>
      </c>
      <c r="G69">
        <v>14810</v>
      </c>
      <c r="H69">
        <v>2616.5700000000002</v>
      </c>
    </row>
    <row r="70" spans="1:8" x14ac:dyDescent="0.3">
      <c r="A70" s="2">
        <v>45318</v>
      </c>
      <c r="B70" t="s">
        <v>9</v>
      </c>
      <c r="C70" t="s">
        <v>16</v>
      </c>
      <c r="D70" t="s">
        <v>25</v>
      </c>
      <c r="E70">
        <v>2</v>
      </c>
      <c r="F70">
        <v>1067.57</v>
      </c>
      <c r="G70">
        <v>2135.14</v>
      </c>
      <c r="H70">
        <v>426.13</v>
      </c>
    </row>
    <row r="71" spans="1:8" x14ac:dyDescent="0.3">
      <c r="A71" s="2">
        <v>45319</v>
      </c>
      <c r="B71" t="s">
        <v>13</v>
      </c>
      <c r="C71" t="s">
        <v>14</v>
      </c>
      <c r="D71" t="s">
        <v>20</v>
      </c>
      <c r="E71">
        <v>5</v>
      </c>
      <c r="F71">
        <v>949.28</v>
      </c>
      <c r="G71">
        <v>4746.3999999999996</v>
      </c>
      <c r="H71">
        <v>616.41</v>
      </c>
    </row>
    <row r="72" spans="1:8" x14ac:dyDescent="0.3">
      <c r="A72" s="2">
        <v>45319</v>
      </c>
      <c r="B72" t="s">
        <v>11</v>
      </c>
      <c r="C72" t="s">
        <v>14</v>
      </c>
      <c r="D72" t="s">
        <v>20</v>
      </c>
      <c r="E72">
        <v>8</v>
      </c>
      <c r="F72">
        <v>1722.55</v>
      </c>
      <c r="G72">
        <v>13780.4</v>
      </c>
      <c r="H72">
        <v>2966.55</v>
      </c>
    </row>
    <row r="73" spans="1:8" x14ac:dyDescent="0.3">
      <c r="A73" s="2">
        <v>45319</v>
      </c>
      <c r="B73" t="s">
        <v>8</v>
      </c>
      <c r="C73" t="s">
        <v>17</v>
      </c>
      <c r="D73" t="s">
        <v>28</v>
      </c>
      <c r="E73">
        <v>7</v>
      </c>
      <c r="F73">
        <v>1488.75</v>
      </c>
      <c r="G73">
        <v>10421.25</v>
      </c>
      <c r="H73">
        <v>1423.52</v>
      </c>
    </row>
    <row r="74" spans="1:8" x14ac:dyDescent="0.3">
      <c r="A74" s="2">
        <v>45320</v>
      </c>
      <c r="B74" t="s">
        <v>9</v>
      </c>
      <c r="C74" t="s">
        <v>14</v>
      </c>
      <c r="D74" t="s">
        <v>19</v>
      </c>
      <c r="E74">
        <v>4</v>
      </c>
      <c r="F74">
        <v>851.77</v>
      </c>
      <c r="G74">
        <v>3407.08</v>
      </c>
      <c r="H74">
        <v>830.29</v>
      </c>
    </row>
    <row r="75" spans="1:8" x14ac:dyDescent="0.3">
      <c r="A75" s="2">
        <v>45321</v>
      </c>
      <c r="B75" t="s">
        <v>8</v>
      </c>
      <c r="C75" t="s">
        <v>14</v>
      </c>
      <c r="D75" t="s">
        <v>20</v>
      </c>
      <c r="E75">
        <v>2</v>
      </c>
      <c r="F75">
        <v>1412.92</v>
      </c>
      <c r="G75">
        <v>2825.84</v>
      </c>
      <c r="H75">
        <v>622.29</v>
      </c>
    </row>
    <row r="76" spans="1:8" x14ac:dyDescent="0.3">
      <c r="A76" s="2">
        <v>45321</v>
      </c>
      <c r="B76" t="s">
        <v>11</v>
      </c>
      <c r="C76" t="s">
        <v>15</v>
      </c>
      <c r="D76" t="s">
        <v>30</v>
      </c>
      <c r="E76">
        <v>10</v>
      </c>
      <c r="F76">
        <v>2130.0100000000002</v>
      </c>
      <c r="G76">
        <v>21300.1</v>
      </c>
      <c r="H76">
        <v>4980.03</v>
      </c>
    </row>
    <row r="77" spans="1:8" x14ac:dyDescent="0.3">
      <c r="A77" s="2">
        <v>45321</v>
      </c>
      <c r="B77" t="s">
        <v>8</v>
      </c>
      <c r="C77" t="s">
        <v>17</v>
      </c>
      <c r="D77" t="s">
        <v>28</v>
      </c>
      <c r="E77">
        <v>8</v>
      </c>
      <c r="F77">
        <v>1400.14</v>
      </c>
      <c r="G77">
        <v>11201.12</v>
      </c>
      <c r="H77">
        <v>2383.2199999999998</v>
      </c>
    </row>
    <row r="78" spans="1:8" x14ac:dyDescent="0.3">
      <c r="A78" s="2">
        <v>45321</v>
      </c>
      <c r="B78" t="s">
        <v>10</v>
      </c>
      <c r="C78" t="s">
        <v>15</v>
      </c>
      <c r="D78" t="s">
        <v>30</v>
      </c>
      <c r="E78">
        <v>4</v>
      </c>
      <c r="F78">
        <v>1049.19</v>
      </c>
      <c r="G78">
        <v>4196.76</v>
      </c>
      <c r="H78">
        <v>468.45</v>
      </c>
    </row>
    <row r="79" spans="1:8" x14ac:dyDescent="0.3">
      <c r="A79" s="2">
        <v>45322</v>
      </c>
      <c r="B79" t="s">
        <v>12</v>
      </c>
      <c r="C79" t="s">
        <v>15</v>
      </c>
      <c r="D79" t="s">
        <v>23</v>
      </c>
      <c r="E79">
        <v>6</v>
      </c>
      <c r="F79">
        <v>2286.0500000000002</v>
      </c>
      <c r="G79">
        <v>13716.3</v>
      </c>
      <c r="H79">
        <v>1537.41</v>
      </c>
    </row>
    <row r="80" spans="1:8" x14ac:dyDescent="0.3">
      <c r="A80" s="2">
        <v>45322</v>
      </c>
      <c r="B80" t="s">
        <v>11</v>
      </c>
      <c r="C80" t="s">
        <v>16</v>
      </c>
      <c r="D80" t="s">
        <v>26</v>
      </c>
      <c r="E80">
        <v>3</v>
      </c>
      <c r="F80">
        <v>1912.84</v>
      </c>
      <c r="G80">
        <v>5738.52</v>
      </c>
      <c r="H80">
        <v>629.14</v>
      </c>
    </row>
    <row r="81" spans="1:8" x14ac:dyDescent="0.3">
      <c r="A81" s="2">
        <v>45323</v>
      </c>
      <c r="B81" t="s">
        <v>9</v>
      </c>
      <c r="C81" t="s">
        <v>17</v>
      </c>
      <c r="D81" t="s">
        <v>27</v>
      </c>
      <c r="E81">
        <v>1</v>
      </c>
      <c r="F81">
        <v>913.67</v>
      </c>
      <c r="G81">
        <v>913.67</v>
      </c>
      <c r="H81">
        <v>148.94999999999999</v>
      </c>
    </row>
    <row r="82" spans="1:8" x14ac:dyDescent="0.3">
      <c r="A82" s="2">
        <v>45323</v>
      </c>
      <c r="B82" t="s">
        <v>11</v>
      </c>
      <c r="C82" t="s">
        <v>14</v>
      </c>
      <c r="D82" t="s">
        <v>19</v>
      </c>
      <c r="E82">
        <v>8</v>
      </c>
      <c r="F82">
        <v>511.79</v>
      </c>
      <c r="G82">
        <v>4094.32</v>
      </c>
      <c r="H82">
        <v>625.46</v>
      </c>
    </row>
    <row r="83" spans="1:8" x14ac:dyDescent="0.3">
      <c r="A83" s="2">
        <v>45323</v>
      </c>
      <c r="B83" t="s">
        <v>13</v>
      </c>
      <c r="C83" t="s">
        <v>17</v>
      </c>
      <c r="D83" t="s">
        <v>28</v>
      </c>
      <c r="E83">
        <v>8</v>
      </c>
      <c r="F83">
        <v>938.84</v>
      </c>
      <c r="G83">
        <v>7510.72</v>
      </c>
      <c r="H83">
        <v>1242.0899999999999</v>
      </c>
    </row>
    <row r="84" spans="1:8" x14ac:dyDescent="0.3">
      <c r="A84" s="2">
        <v>45324</v>
      </c>
      <c r="B84" t="s">
        <v>9</v>
      </c>
      <c r="C84" t="s">
        <v>15</v>
      </c>
      <c r="D84" t="s">
        <v>30</v>
      </c>
      <c r="E84">
        <v>3</v>
      </c>
      <c r="F84">
        <v>2181.0100000000002</v>
      </c>
      <c r="G84">
        <v>6543.03</v>
      </c>
      <c r="H84">
        <v>1556.79</v>
      </c>
    </row>
    <row r="85" spans="1:8" x14ac:dyDescent="0.3">
      <c r="A85" s="2">
        <v>45324</v>
      </c>
      <c r="B85" t="s">
        <v>8</v>
      </c>
      <c r="C85" t="s">
        <v>14</v>
      </c>
      <c r="D85" t="s">
        <v>19</v>
      </c>
      <c r="E85">
        <v>10</v>
      </c>
      <c r="F85">
        <v>1628.78</v>
      </c>
      <c r="G85">
        <v>16287.8</v>
      </c>
      <c r="H85">
        <v>1694.99</v>
      </c>
    </row>
    <row r="86" spans="1:8" x14ac:dyDescent="0.3">
      <c r="A86" s="2">
        <v>45324</v>
      </c>
      <c r="B86" t="s">
        <v>10</v>
      </c>
      <c r="C86" t="s">
        <v>17</v>
      </c>
      <c r="D86" t="s">
        <v>28</v>
      </c>
      <c r="E86">
        <v>8</v>
      </c>
      <c r="F86">
        <v>863.46</v>
      </c>
      <c r="G86">
        <v>6907.68</v>
      </c>
      <c r="H86">
        <v>960.33</v>
      </c>
    </row>
    <row r="87" spans="1:8" x14ac:dyDescent="0.3">
      <c r="A87" s="2">
        <v>45324</v>
      </c>
      <c r="B87" t="s">
        <v>10</v>
      </c>
      <c r="C87" t="s">
        <v>16</v>
      </c>
      <c r="D87" t="s">
        <v>26</v>
      </c>
      <c r="E87">
        <v>6</v>
      </c>
      <c r="F87">
        <v>1175</v>
      </c>
      <c r="G87">
        <v>7050</v>
      </c>
      <c r="H87">
        <v>1635.22</v>
      </c>
    </row>
    <row r="88" spans="1:8" x14ac:dyDescent="0.3">
      <c r="A88" s="2">
        <v>45325</v>
      </c>
      <c r="B88" t="s">
        <v>10</v>
      </c>
      <c r="C88" t="s">
        <v>15</v>
      </c>
      <c r="D88" t="s">
        <v>22</v>
      </c>
      <c r="E88">
        <v>8</v>
      </c>
      <c r="F88">
        <v>538.77</v>
      </c>
      <c r="G88">
        <v>4310.16</v>
      </c>
      <c r="H88">
        <v>779.76</v>
      </c>
    </row>
    <row r="89" spans="1:8" x14ac:dyDescent="0.3">
      <c r="A89" s="2">
        <v>45325</v>
      </c>
      <c r="B89" t="s">
        <v>13</v>
      </c>
      <c r="C89" t="s">
        <v>16</v>
      </c>
      <c r="D89" t="s">
        <v>25</v>
      </c>
      <c r="E89">
        <v>2</v>
      </c>
      <c r="F89">
        <v>2062.4699999999998</v>
      </c>
      <c r="G89">
        <v>4124.9399999999996</v>
      </c>
      <c r="H89">
        <v>815.76</v>
      </c>
    </row>
    <row r="90" spans="1:8" x14ac:dyDescent="0.3">
      <c r="A90" s="2">
        <v>45325</v>
      </c>
      <c r="B90" t="s">
        <v>11</v>
      </c>
      <c r="C90" t="s">
        <v>16</v>
      </c>
      <c r="D90" t="s">
        <v>29</v>
      </c>
      <c r="E90">
        <v>1</v>
      </c>
      <c r="F90">
        <v>1742.67</v>
      </c>
      <c r="G90">
        <v>1742.67</v>
      </c>
      <c r="H90">
        <v>236.62</v>
      </c>
    </row>
    <row r="91" spans="1:8" x14ac:dyDescent="0.3">
      <c r="A91" s="2">
        <v>45325</v>
      </c>
      <c r="B91" t="s">
        <v>12</v>
      </c>
      <c r="C91" t="s">
        <v>14</v>
      </c>
      <c r="D91" t="s">
        <v>20</v>
      </c>
      <c r="E91">
        <v>8</v>
      </c>
      <c r="F91">
        <v>1898.93</v>
      </c>
      <c r="G91">
        <v>15191.44</v>
      </c>
      <c r="H91">
        <v>3266.69</v>
      </c>
    </row>
    <row r="92" spans="1:8" x14ac:dyDescent="0.3">
      <c r="A92" s="2">
        <v>45326</v>
      </c>
      <c r="B92" t="s">
        <v>10</v>
      </c>
      <c r="C92" t="s">
        <v>14</v>
      </c>
      <c r="D92" t="s">
        <v>20</v>
      </c>
      <c r="E92">
        <v>5</v>
      </c>
      <c r="F92">
        <v>716.2</v>
      </c>
      <c r="G92">
        <v>3581</v>
      </c>
      <c r="H92">
        <v>371.89</v>
      </c>
    </row>
    <row r="93" spans="1:8" x14ac:dyDescent="0.3">
      <c r="A93" s="2">
        <v>45326</v>
      </c>
      <c r="B93" t="s">
        <v>8</v>
      </c>
      <c r="C93" t="s">
        <v>17</v>
      </c>
      <c r="D93" t="s">
        <v>27</v>
      </c>
      <c r="E93">
        <v>4</v>
      </c>
      <c r="F93">
        <v>651.99</v>
      </c>
      <c r="G93">
        <v>2607.96</v>
      </c>
      <c r="H93">
        <v>530.96</v>
      </c>
    </row>
    <row r="94" spans="1:8" x14ac:dyDescent="0.3">
      <c r="A94" s="2">
        <v>45326</v>
      </c>
      <c r="B94" t="s">
        <v>13</v>
      </c>
      <c r="C94" t="s">
        <v>16</v>
      </c>
      <c r="D94" t="s">
        <v>29</v>
      </c>
      <c r="E94">
        <v>5</v>
      </c>
      <c r="F94">
        <v>2200.59</v>
      </c>
      <c r="G94">
        <v>11002.95</v>
      </c>
      <c r="H94">
        <v>2091.2399999999998</v>
      </c>
    </row>
    <row r="95" spans="1:8" x14ac:dyDescent="0.3">
      <c r="A95" s="2">
        <v>45326</v>
      </c>
      <c r="B95" t="s">
        <v>9</v>
      </c>
      <c r="C95" t="s">
        <v>14</v>
      </c>
      <c r="D95" t="s">
        <v>18</v>
      </c>
      <c r="E95">
        <v>9</v>
      </c>
      <c r="F95">
        <v>1356.76</v>
      </c>
      <c r="G95">
        <v>12210.84</v>
      </c>
      <c r="H95">
        <v>1899.83</v>
      </c>
    </row>
    <row r="96" spans="1:8" x14ac:dyDescent="0.3">
      <c r="A96" s="2">
        <v>45326</v>
      </c>
      <c r="B96" t="s">
        <v>10</v>
      </c>
      <c r="C96" t="s">
        <v>15</v>
      </c>
      <c r="D96" t="s">
        <v>22</v>
      </c>
      <c r="E96">
        <v>7</v>
      </c>
      <c r="F96">
        <v>2144.66</v>
      </c>
      <c r="G96">
        <v>15012.62</v>
      </c>
      <c r="H96">
        <v>1738.92</v>
      </c>
    </row>
    <row r="97" spans="1:8" x14ac:dyDescent="0.3">
      <c r="A97" s="2">
        <v>45327</v>
      </c>
      <c r="B97" t="s">
        <v>10</v>
      </c>
      <c r="C97" t="s">
        <v>16</v>
      </c>
      <c r="D97" t="s">
        <v>26</v>
      </c>
      <c r="E97">
        <v>3</v>
      </c>
      <c r="F97">
        <v>1967.59</v>
      </c>
      <c r="G97">
        <v>5902.77</v>
      </c>
      <c r="H97">
        <v>1445.12</v>
      </c>
    </row>
    <row r="98" spans="1:8" x14ac:dyDescent="0.3">
      <c r="A98" s="2">
        <v>45327</v>
      </c>
      <c r="B98" t="s">
        <v>10</v>
      </c>
      <c r="C98" t="s">
        <v>17</v>
      </c>
      <c r="D98" t="s">
        <v>27</v>
      </c>
      <c r="E98">
        <v>7</v>
      </c>
      <c r="F98">
        <v>2151.4699999999998</v>
      </c>
      <c r="G98">
        <v>15060.29</v>
      </c>
      <c r="H98">
        <v>2844.45</v>
      </c>
    </row>
    <row r="99" spans="1:8" x14ac:dyDescent="0.3">
      <c r="A99" s="2">
        <v>45327</v>
      </c>
      <c r="B99" t="s">
        <v>11</v>
      </c>
      <c r="C99" t="s">
        <v>16</v>
      </c>
      <c r="D99" t="s">
        <v>29</v>
      </c>
      <c r="E99">
        <v>5</v>
      </c>
      <c r="F99">
        <v>2263.2600000000002</v>
      </c>
      <c r="G99">
        <v>11316.3</v>
      </c>
      <c r="H99">
        <v>1545.57</v>
      </c>
    </row>
    <row r="100" spans="1:8" x14ac:dyDescent="0.3">
      <c r="A100" s="2">
        <v>45327</v>
      </c>
      <c r="B100" t="s">
        <v>11</v>
      </c>
      <c r="C100" t="s">
        <v>17</v>
      </c>
      <c r="D100" t="s">
        <v>27</v>
      </c>
      <c r="E100">
        <v>1</v>
      </c>
      <c r="F100">
        <v>1488.61</v>
      </c>
      <c r="G100">
        <v>1488.61</v>
      </c>
      <c r="H100">
        <v>221.43</v>
      </c>
    </row>
    <row r="101" spans="1:8" x14ac:dyDescent="0.3">
      <c r="A101" s="2">
        <v>45328</v>
      </c>
      <c r="B101" t="s">
        <v>10</v>
      </c>
      <c r="C101" t="s">
        <v>15</v>
      </c>
      <c r="D101" t="s">
        <v>23</v>
      </c>
      <c r="E101">
        <v>6</v>
      </c>
      <c r="F101">
        <v>1059.32</v>
      </c>
      <c r="G101">
        <v>6355.92</v>
      </c>
      <c r="H101">
        <v>1203.96</v>
      </c>
    </row>
    <row r="102" spans="1:8" x14ac:dyDescent="0.3">
      <c r="A102" s="2">
        <v>45328</v>
      </c>
      <c r="B102" t="s">
        <v>9</v>
      </c>
      <c r="C102" t="s">
        <v>14</v>
      </c>
      <c r="D102" t="s">
        <v>20</v>
      </c>
      <c r="E102">
        <v>2</v>
      </c>
      <c r="F102">
        <v>982.71</v>
      </c>
      <c r="G102">
        <v>1965.42</v>
      </c>
      <c r="H102">
        <v>316.36</v>
      </c>
    </row>
    <row r="103" spans="1:8" x14ac:dyDescent="0.3">
      <c r="A103" s="2">
        <v>45329</v>
      </c>
      <c r="B103" t="s">
        <v>12</v>
      </c>
      <c r="C103" t="s">
        <v>17</v>
      </c>
      <c r="D103" t="s">
        <v>27</v>
      </c>
      <c r="E103">
        <v>8</v>
      </c>
      <c r="F103">
        <v>2085.87</v>
      </c>
      <c r="G103">
        <v>16686.96</v>
      </c>
      <c r="H103">
        <v>1901.61</v>
      </c>
    </row>
    <row r="104" spans="1:8" x14ac:dyDescent="0.3">
      <c r="A104" s="2">
        <v>45329</v>
      </c>
      <c r="B104" t="s">
        <v>9</v>
      </c>
      <c r="C104" t="s">
        <v>17</v>
      </c>
      <c r="D104" t="s">
        <v>28</v>
      </c>
      <c r="E104">
        <v>5</v>
      </c>
      <c r="F104">
        <v>1827.92</v>
      </c>
      <c r="G104">
        <v>9139.6</v>
      </c>
      <c r="H104">
        <v>1419.86</v>
      </c>
    </row>
    <row r="105" spans="1:8" x14ac:dyDescent="0.3">
      <c r="A105" s="2">
        <v>45330</v>
      </c>
      <c r="B105" t="s">
        <v>10</v>
      </c>
      <c r="C105" t="s">
        <v>15</v>
      </c>
      <c r="D105" t="s">
        <v>30</v>
      </c>
      <c r="E105">
        <v>9</v>
      </c>
      <c r="F105">
        <v>1161.58</v>
      </c>
      <c r="G105">
        <v>10454.219999999999</v>
      </c>
      <c r="H105">
        <v>2147.59</v>
      </c>
    </row>
    <row r="106" spans="1:8" x14ac:dyDescent="0.3">
      <c r="A106" s="2">
        <v>45330</v>
      </c>
      <c r="B106" t="s">
        <v>13</v>
      </c>
      <c r="C106" t="s">
        <v>15</v>
      </c>
      <c r="D106" t="s">
        <v>23</v>
      </c>
      <c r="E106">
        <v>4</v>
      </c>
      <c r="F106">
        <v>741.31</v>
      </c>
      <c r="G106">
        <v>2965.24</v>
      </c>
      <c r="H106">
        <v>382.18</v>
      </c>
    </row>
    <row r="107" spans="1:8" x14ac:dyDescent="0.3">
      <c r="A107" s="2">
        <v>45330</v>
      </c>
      <c r="B107" t="s">
        <v>9</v>
      </c>
      <c r="C107" t="s">
        <v>16</v>
      </c>
      <c r="D107" t="s">
        <v>29</v>
      </c>
      <c r="E107">
        <v>4</v>
      </c>
      <c r="F107">
        <v>1977.21</v>
      </c>
      <c r="G107">
        <v>7908.84</v>
      </c>
      <c r="H107">
        <v>1118.9000000000001</v>
      </c>
    </row>
    <row r="108" spans="1:8" x14ac:dyDescent="0.3">
      <c r="A108" s="2">
        <v>45330</v>
      </c>
      <c r="B108" t="s">
        <v>10</v>
      </c>
      <c r="C108" t="s">
        <v>15</v>
      </c>
      <c r="D108" t="s">
        <v>22</v>
      </c>
      <c r="E108">
        <v>4</v>
      </c>
      <c r="F108">
        <v>1092.49</v>
      </c>
      <c r="G108">
        <v>4369.96</v>
      </c>
      <c r="H108">
        <v>673.55</v>
      </c>
    </row>
    <row r="109" spans="1:8" x14ac:dyDescent="0.3">
      <c r="A109" s="2">
        <v>45330</v>
      </c>
      <c r="B109" t="s">
        <v>10</v>
      </c>
      <c r="C109" t="s">
        <v>14</v>
      </c>
      <c r="D109" t="s">
        <v>20</v>
      </c>
      <c r="E109">
        <v>5</v>
      </c>
      <c r="F109">
        <v>591.03</v>
      </c>
      <c r="G109">
        <v>2955.15</v>
      </c>
      <c r="H109">
        <v>319.68</v>
      </c>
    </row>
    <row r="110" spans="1:8" x14ac:dyDescent="0.3">
      <c r="A110" s="2">
        <v>45331</v>
      </c>
      <c r="B110" t="s">
        <v>11</v>
      </c>
      <c r="C110" t="s">
        <v>17</v>
      </c>
      <c r="D110" t="s">
        <v>28</v>
      </c>
      <c r="E110">
        <v>1</v>
      </c>
      <c r="F110">
        <v>1648.13</v>
      </c>
      <c r="G110">
        <v>1648.13</v>
      </c>
      <c r="H110">
        <v>280.86</v>
      </c>
    </row>
    <row r="111" spans="1:8" x14ac:dyDescent="0.3">
      <c r="A111" s="2">
        <v>45331</v>
      </c>
      <c r="B111" t="s">
        <v>13</v>
      </c>
      <c r="C111" t="s">
        <v>15</v>
      </c>
      <c r="D111" t="s">
        <v>24</v>
      </c>
      <c r="E111">
        <v>1</v>
      </c>
      <c r="F111">
        <v>1004.96</v>
      </c>
      <c r="G111">
        <v>1004.96</v>
      </c>
      <c r="H111">
        <v>230.4</v>
      </c>
    </row>
    <row r="112" spans="1:8" x14ac:dyDescent="0.3">
      <c r="A112" s="2">
        <v>45332</v>
      </c>
      <c r="B112" t="s">
        <v>12</v>
      </c>
      <c r="C112" t="s">
        <v>17</v>
      </c>
      <c r="D112" t="s">
        <v>27</v>
      </c>
      <c r="E112">
        <v>2</v>
      </c>
      <c r="F112">
        <v>1654.04</v>
      </c>
      <c r="G112">
        <v>3308.08</v>
      </c>
      <c r="H112">
        <v>671.43</v>
      </c>
    </row>
    <row r="113" spans="1:8" x14ac:dyDescent="0.3">
      <c r="A113" s="2">
        <v>45333</v>
      </c>
      <c r="B113" t="s">
        <v>9</v>
      </c>
      <c r="C113" t="s">
        <v>15</v>
      </c>
      <c r="D113" t="s">
        <v>22</v>
      </c>
      <c r="E113">
        <v>4</v>
      </c>
      <c r="F113">
        <v>736.9</v>
      </c>
      <c r="G113">
        <v>2947.6</v>
      </c>
      <c r="H113">
        <v>632.75</v>
      </c>
    </row>
    <row r="114" spans="1:8" x14ac:dyDescent="0.3">
      <c r="A114" s="2">
        <v>45333</v>
      </c>
      <c r="B114" t="s">
        <v>9</v>
      </c>
      <c r="C114" t="s">
        <v>16</v>
      </c>
      <c r="D114" t="s">
        <v>25</v>
      </c>
      <c r="E114">
        <v>7</v>
      </c>
      <c r="F114">
        <v>1401.03</v>
      </c>
      <c r="G114">
        <v>9807.2099999999991</v>
      </c>
      <c r="H114">
        <v>1632</v>
      </c>
    </row>
    <row r="115" spans="1:8" x14ac:dyDescent="0.3">
      <c r="A115" s="2">
        <v>45334</v>
      </c>
      <c r="B115" t="s">
        <v>12</v>
      </c>
      <c r="C115" t="s">
        <v>15</v>
      </c>
      <c r="D115" t="s">
        <v>22</v>
      </c>
      <c r="E115">
        <v>10</v>
      </c>
      <c r="F115">
        <v>2420.2199999999998</v>
      </c>
      <c r="G115">
        <v>24202.2</v>
      </c>
      <c r="H115">
        <v>2780.47</v>
      </c>
    </row>
    <row r="116" spans="1:8" x14ac:dyDescent="0.3">
      <c r="A116" s="2">
        <v>45334</v>
      </c>
      <c r="B116" t="s">
        <v>13</v>
      </c>
      <c r="C116" t="s">
        <v>16</v>
      </c>
      <c r="D116" t="s">
        <v>26</v>
      </c>
      <c r="E116">
        <v>2</v>
      </c>
      <c r="F116">
        <v>814.11</v>
      </c>
      <c r="G116">
        <v>1628.22</v>
      </c>
      <c r="H116">
        <v>205.27</v>
      </c>
    </row>
    <row r="117" spans="1:8" x14ac:dyDescent="0.3">
      <c r="A117" s="2">
        <v>45334</v>
      </c>
      <c r="B117" t="s">
        <v>10</v>
      </c>
      <c r="C117" t="s">
        <v>16</v>
      </c>
      <c r="D117" t="s">
        <v>29</v>
      </c>
      <c r="E117">
        <v>7</v>
      </c>
      <c r="F117">
        <v>1401.01</v>
      </c>
      <c r="G117">
        <v>9807.07</v>
      </c>
      <c r="H117">
        <v>1854.24</v>
      </c>
    </row>
    <row r="118" spans="1:8" x14ac:dyDescent="0.3">
      <c r="A118" s="2">
        <v>45334</v>
      </c>
      <c r="B118" t="s">
        <v>11</v>
      </c>
      <c r="C118" t="s">
        <v>14</v>
      </c>
      <c r="D118" t="s">
        <v>20</v>
      </c>
      <c r="E118">
        <v>5</v>
      </c>
      <c r="F118">
        <v>1913.91</v>
      </c>
      <c r="G118">
        <v>9569.5499999999993</v>
      </c>
      <c r="H118">
        <v>1966.05</v>
      </c>
    </row>
    <row r="119" spans="1:8" x14ac:dyDescent="0.3">
      <c r="A119" s="2">
        <v>45335</v>
      </c>
      <c r="B119" t="s">
        <v>11</v>
      </c>
      <c r="C119" t="s">
        <v>16</v>
      </c>
      <c r="D119" t="s">
        <v>26</v>
      </c>
      <c r="E119">
        <v>10</v>
      </c>
      <c r="F119">
        <v>1822.37</v>
      </c>
      <c r="G119">
        <v>18223.7</v>
      </c>
      <c r="H119">
        <v>4374.6000000000004</v>
      </c>
    </row>
    <row r="120" spans="1:8" x14ac:dyDescent="0.3">
      <c r="A120" s="2">
        <v>45336</v>
      </c>
      <c r="B120" t="s">
        <v>13</v>
      </c>
      <c r="C120" t="s">
        <v>16</v>
      </c>
      <c r="D120" t="s">
        <v>25</v>
      </c>
      <c r="E120">
        <v>3</v>
      </c>
      <c r="F120">
        <v>2316.8200000000002</v>
      </c>
      <c r="G120">
        <v>6950.46</v>
      </c>
      <c r="H120">
        <v>1556.87</v>
      </c>
    </row>
    <row r="121" spans="1:8" x14ac:dyDescent="0.3">
      <c r="A121" s="2">
        <v>45337</v>
      </c>
      <c r="B121" t="s">
        <v>10</v>
      </c>
      <c r="C121" t="s">
        <v>16</v>
      </c>
      <c r="D121" t="s">
        <v>26</v>
      </c>
      <c r="E121">
        <v>10</v>
      </c>
      <c r="F121">
        <v>1997.92</v>
      </c>
      <c r="G121">
        <v>19979.2</v>
      </c>
      <c r="H121">
        <v>3703.77</v>
      </c>
    </row>
    <row r="122" spans="1:8" x14ac:dyDescent="0.3">
      <c r="A122" s="2">
        <v>45338</v>
      </c>
      <c r="B122" t="s">
        <v>9</v>
      </c>
      <c r="C122" t="s">
        <v>14</v>
      </c>
      <c r="D122" t="s">
        <v>19</v>
      </c>
      <c r="E122">
        <v>5</v>
      </c>
      <c r="F122">
        <v>1899.47</v>
      </c>
      <c r="G122">
        <v>9497.35</v>
      </c>
      <c r="H122">
        <v>2292.67</v>
      </c>
    </row>
    <row r="123" spans="1:8" x14ac:dyDescent="0.3">
      <c r="A123" s="2">
        <v>45338</v>
      </c>
      <c r="B123" t="s">
        <v>8</v>
      </c>
      <c r="C123" t="s">
        <v>17</v>
      </c>
      <c r="D123" t="s">
        <v>27</v>
      </c>
      <c r="E123">
        <v>2</v>
      </c>
      <c r="F123">
        <v>1696.07</v>
      </c>
      <c r="G123">
        <v>3392.14</v>
      </c>
      <c r="H123">
        <v>791.77</v>
      </c>
    </row>
    <row r="124" spans="1:8" x14ac:dyDescent="0.3">
      <c r="A124" s="2">
        <v>45338</v>
      </c>
      <c r="B124" t="s">
        <v>9</v>
      </c>
      <c r="C124" t="s">
        <v>15</v>
      </c>
      <c r="D124" t="s">
        <v>23</v>
      </c>
      <c r="E124">
        <v>1</v>
      </c>
      <c r="F124">
        <v>682.65</v>
      </c>
      <c r="G124">
        <v>682.65</v>
      </c>
      <c r="H124">
        <v>166.76</v>
      </c>
    </row>
    <row r="125" spans="1:8" x14ac:dyDescent="0.3">
      <c r="A125" s="2">
        <v>45338</v>
      </c>
      <c r="B125" t="s">
        <v>11</v>
      </c>
      <c r="C125" t="s">
        <v>14</v>
      </c>
      <c r="D125" t="s">
        <v>18</v>
      </c>
      <c r="E125">
        <v>10</v>
      </c>
      <c r="F125">
        <v>580.46</v>
      </c>
      <c r="G125">
        <v>5804.6</v>
      </c>
      <c r="H125">
        <v>1238.94</v>
      </c>
    </row>
    <row r="126" spans="1:8" x14ac:dyDescent="0.3">
      <c r="A126" s="2">
        <v>45339</v>
      </c>
      <c r="B126" t="s">
        <v>11</v>
      </c>
      <c r="C126" t="s">
        <v>17</v>
      </c>
      <c r="D126" t="s">
        <v>27</v>
      </c>
      <c r="E126">
        <v>3</v>
      </c>
      <c r="F126">
        <v>2493.89</v>
      </c>
      <c r="G126">
        <v>7481.67</v>
      </c>
      <c r="H126">
        <v>1237.3399999999999</v>
      </c>
    </row>
    <row r="127" spans="1:8" x14ac:dyDescent="0.3">
      <c r="A127" s="2">
        <v>45339</v>
      </c>
      <c r="B127" t="s">
        <v>13</v>
      </c>
      <c r="C127" t="s">
        <v>14</v>
      </c>
      <c r="D127" t="s">
        <v>19</v>
      </c>
      <c r="E127">
        <v>6</v>
      </c>
      <c r="F127">
        <v>1316.7</v>
      </c>
      <c r="G127">
        <v>7900.2</v>
      </c>
      <c r="H127">
        <v>1170.48</v>
      </c>
    </row>
    <row r="128" spans="1:8" x14ac:dyDescent="0.3">
      <c r="A128" s="2">
        <v>45339</v>
      </c>
      <c r="B128" t="s">
        <v>11</v>
      </c>
      <c r="C128" t="s">
        <v>16</v>
      </c>
      <c r="D128" t="s">
        <v>26</v>
      </c>
      <c r="E128">
        <v>7</v>
      </c>
      <c r="F128">
        <v>1887.35</v>
      </c>
      <c r="G128">
        <v>13211.45</v>
      </c>
      <c r="H128">
        <v>1892.31</v>
      </c>
    </row>
    <row r="129" spans="1:8" x14ac:dyDescent="0.3">
      <c r="A129" s="2">
        <v>45339</v>
      </c>
      <c r="B129" t="s">
        <v>11</v>
      </c>
      <c r="C129" t="s">
        <v>14</v>
      </c>
      <c r="D129" t="s">
        <v>19</v>
      </c>
      <c r="E129">
        <v>2</v>
      </c>
      <c r="F129">
        <v>1129.03</v>
      </c>
      <c r="G129">
        <v>2258.06</v>
      </c>
      <c r="H129">
        <v>335.3</v>
      </c>
    </row>
    <row r="130" spans="1:8" x14ac:dyDescent="0.3">
      <c r="A130" s="2">
        <v>45339</v>
      </c>
      <c r="B130" t="s">
        <v>9</v>
      </c>
      <c r="C130" t="s">
        <v>14</v>
      </c>
      <c r="D130" t="s">
        <v>19</v>
      </c>
      <c r="E130">
        <v>7</v>
      </c>
      <c r="F130">
        <v>608.41</v>
      </c>
      <c r="G130">
        <v>4258.87</v>
      </c>
      <c r="H130">
        <v>757.08</v>
      </c>
    </row>
    <row r="131" spans="1:8" x14ac:dyDescent="0.3">
      <c r="A131" s="2">
        <v>45340</v>
      </c>
      <c r="B131" t="s">
        <v>10</v>
      </c>
      <c r="C131" t="s">
        <v>17</v>
      </c>
      <c r="D131" t="s">
        <v>28</v>
      </c>
      <c r="E131">
        <v>4</v>
      </c>
      <c r="F131">
        <v>1034.1099999999999</v>
      </c>
      <c r="G131">
        <v>4136.4399999999996</v>
      </c>
      <c r="H131">
        <v>494.93</v>
      </c>
    </row>
    <row r="132" spans="1:8" x14ac:dyDescent="0.3">
      <c r="A132" s="2">
        <v>45340</v>
      </c>
      <c r="B132" t="s">
        <v>12</v>
      </c>
      <c r="C132" t="s">
        <v>17</v>
      </c>
      <c r="D132" t="s">
        <v>27</v>
      </c>
      <c r="E132">
        <v>2</v>
      </c>
      <c r="F132">
        <v>557.74</v>
      </c>
      <c r="G132">
        <v>1115.48</v>
      </c>
      <c r="H132">
        <v>216.96</v>
      </c>
    </row>
    <row r="133" spans="1:8" x14ac:dyDescent="0.3">
      <c r="A133" s="2">
        <v>45340</v>
      </c>
      <c r="B133" t="s">
        <v>12</v>
      </c>
      <c r="C133" t="s">
        <v>16</v>
      </c>
      <c r="D133" t="s">
        <v>26</v>
      </c>
      <c r="E133">
        <v>9</v>
      </c>
      <c r="F133">
        <v>527.35</v>
      </c>
      <c r="G133">
        <v>4746.1499999999996</v>
      </c>
      <c r="H133">
        <v>765.07</v>
      </c>
    </row>
    <row r="134" spans="1:8" x14ac:dyDescent="0.3">
      <c r="A134" s="2">
        <v>45340</v>
      </c>
      <c r="B134" t="s">
        <v>8</v>
      </c>
      <c r="C134" t="s">
        <v>14</v>
      </c>
      <c r="D134" t="s">
        <v>19</v>
      </c>
      <c r="E134">
        <v>2</v>
      </c>
      <c r="F134">
        <v>1795.42</v>
      </c>
      <c r="G134">
        <v>3590.84</v>
      </c>
      <c r="H134">
        <v>442.02</v>
      </c>
    </row>
    <row r="135" spans="1:8" x14ac:dyDescent="0.3">
      <c r="A135" s="2">
        <v>45341</v>
      </c>
      <c r="B135" t="s">
        <v>9</v>
      </c>
      <c r="C135" t="s">
        <v>15</v>
      </c>
      <c r="D135" t="s">
        <v>30</v>
      </c>
      <c r="E135">
        <v>8</v>
      </c>
      <c r="F135">
        <v>2460.4899999999998</v>
      </c>
      <c r="G135">
        <v>19683.919999999998</v>
      </c>
      <c r="H135">
        <v>2688.03</v>
      </c>
    </row>
    <row r="136" spans="1:8" x14ac:dyDescent="0.3">
      <c r="A136" s="2">
        <v>45341</v>
      </c>
      <c r="B136" t="s">
        <v>12</v>
      </c>
      <c r="C136" t="s">
        <v>16</v>
      </c>
      <c r="D136" t="s">
        <v>26</v>
      </c>
      <c r="E136">
        <v>4</v>
      </c>
      <c r="F136">
        <v>2343.7399999999998</v>
      </c>
      <c r="G136">
        <v>9374.9599999999991</v>
      </c>
      <c r="H136">
        <v>1652.21</v>
      </c>
    </row>
    <row r="137" spans="1:8" x14ac:dyDescent="0.3">
      <c r="A137" s="2">
        <v>45341</v>
      </c>
      <c r="B137" t="s">
        <v>10</v>
      </c>
      <c r="C137" t="s">
        <v>14</v>
      </c>
      <c r="D137" t="s">
        <v>18</v>
      </c>
      <c r="E137">
        <v>7</v>
      </c>
      <c r="F137">
        <v>1179.75</v>
      </c>
      <c r="G137">
        <v>8258.25</v>
      </c>
      <c r="H137">
        <v>1801.6</v>
      </c>
    </row>
    <row r="138" spans="1:8" x14ac:dyDescent="0.3">
      <c r="A138" s="2">
        <v>45342</v>
      </c>
      <c r="B138" t="s">
        <v>12</v>
      </c>
      <c r="C138" t="s">
        <v>15</v>
      </c>
      <c r="D138" t="s">
        <v>23</v>
      </c>
      <c r="E138">
        <v>10</v>
      </c>
      <c r="F138">
        <v>1659.85</v>
      </c>
      <c r="G138">
        <v>16598.5</v>
      </c>
      <c r="H138">
        <v>3302.95</v>
      </c>
    </row>
    <row r="139" spans="1:8" x14ac:dyDescent="0.3">
      <c r="A139" s="2">
        <v>45343</v>
      </c>
      <c r="B139" t="s">
        <v>11</v>
      </c>
      <c r="C139" t="s">
        <v>17</v>
      </c>
      <c r="D139" t="s">
        <v>27</v>
      </c>
      <c r="E139">
        <v>6</v>
      </c>
      <c r="F139">
        <v>1603.83</v>
      </c>
      <c r="G139">
        <v>9622.98</v>
      </c>
      <c r="H139">
        <v>1746.71</v>
      </c>
    </row>
    <row r="140" spans="1:8" x14ac:dyDescent="0.3">
      <c r="A140" s="2">
        <v>45343</v>
      </c>
      <c r="B140" t="s">
        <v>11</v>
      </c>
      <c r="C140" t="s">
        <v>15</v>
      </c>
      <c r="D140" t="s">
        <v>24</v>
      </c>
      <c r="E140">
        <v>4</v>
      </c>
      <c r="F140">
        <v>1643.6</v>
      </c>
      <c r="G140">
        <v>6574.4</v>
      </c>
      <c r="H140">
        <v>887.77</v>
      </c>
    </row>
    <row r="141" spans="1:8" x14ac:dyDescent="0.3">
      <c r="A141" s="2">
        <v>45343</v>
      </c>
      <c r="B141" t="s">
        <v>11</v>
      </c>
      <c r="C141" t="s">
        <v>14</v>
      </c>
      <c r="D141" t="s">
        <v>18</v>
      </c>
      <c r="E141">
        <v>8</v>
      </c>
      <c r="F141">
        <v>1910.46</v>
      </c>
      <c r="G141">
        <v>15283.68</v>
      </c>
      <c r="H141">
        <v>3388.57</v>
      </c>
    </row>
    <row r="142" spans="1:8" x14ac:dyDescent="0.3">
      <c r="A142" s="2">
        <v>45343</v>
      </c>
      <c r="B142" t="s">
        <v>10</v>
      </c>
      <c r="C142" t="s">
        <v>16</v>
      </c>
      <c r="D142" t="s">
        <v>26</v>
      </c>
      <c r="E142">
        <v>1</v>
      </c>
      <c r="F142">
        <v>752.49</v>
      </c>
      <c r="G142">
        <v>752.49</v>
      </c>
      <c r="H142">
        <v>184.21</v>
      </c>
    </row>
    <row r="143" spans="1:8" x14ac:dyDescent="0.3">
      <c r="A143" s="2">
        <v>45344</v>
      </c>
      <c r="B143" t="s">
        <v>12</v>
      </c>
      <c r="C143" t="s">
        <v>17</v>
      </c>
      <c r="D143" t="s">
        <v>28</v>
      </c>
      <c r="E143">
        <v>9</v>
      </c>
      <c r="F143">
        <v>2320.88</v>
      </c>
      <c r="G143">
        <v>20887.919999999998</v>
      </c>
      <c r="H143">
        <v>2136.88</v>
      </c>
    </row>
    <row r="144" spans="1:8" x14ac:dyDescent="0.3">
      <c r="A144" s="2">
        <v>45345</v>
      </c>
      <c r="B144" t="s">
        <v>9</v>
      </c>
      <c r="C144" t="s">
        <v>16</v>
      </c>
      <c r="D144" t="s">
        <v>29</v>
      </c>
      <c r="E144">
        <v>8</v>
      </c>
      <c r="F144">
        <v>2063.0500000000002</v>
      </c>
      <c r="G144">
        <v>16504.400000000001</v>
      </c>
      <c r="H144">
        <v>2306.5500000000002</v>
      </c>
    </row>
    <row r="145" spans="1:8" x14ac:dyDescent="0.3">
      <c r="A145" s="2">
        <v>45345</v>
      </c>
      <c r="B145" t="s">
        <v>11</v>
      </c>
      <c r="C145" t="s">
        <v>17</v>
      </c>
      <c r="D145" t="s">
        <v>28</v>
      </c>
      <c r="E145">
        <v>6</v>
      </c>
      <c r="F145">
        <v>2204.6799999999998</v>
      </c>
      <c r="G145">
        <v>13228.08</v>
      </c>
      <c r="H145">
        <v>3027.93</v>
      </c>
    </row>
    <row r="146" spans="1:8" x14ac:dyDescent="0.3">
      <c r="A146" s="2">
        <v>45345</v>
      </c>
      <c r="B146" t="s">
        <v>8</v>
      </c>
      <c r="C146" t="s">
        <v>15</v>
      </c>
      <c r="D146" t="s">
        <v>30</v>
      </c>
      <c r="E146">
        <v>9</v>
      </c>
      <c r="F146">
        <v>571.79999999999995</v>
      </c>
      <c r="G146">
        <v>5146.2</v>
      </c>
      <c r="H146">
        <v>567.44000000000005</v>
      </c>
    </row>
    <row r="147" spans="1:8" x14ac:dyDescent="0.3">
      <c r="A147" s="2">
        <v>45345</v>
      </c>
      <c r="B147" t="s">
        <v>8</v>
      </c>
      <c r="C147" t="s">
        <v>15</v>
      </c>
      <c r="D147" t="s">
        <v>24</v>
      </c>
      <c r="E147">
        <v>2</v>
      </c>
      <c r="F147">
        <v>1367.94</v>
      </c>
      <c r="G147">
        <v>2735.88</v>
      </c>
      <c r="H147">
        <v>313.99</v>
      </c>
    </row>
    <row r="148" spans="1:8" x14ac:dyDescent="0.3">
      <c r="A148" s="2">
        <v>45346</v>
      </c>
      <c r="B148" t="s">
        <v>13</v>
      </c>
      <c r="C148" t="s">
        <v>17</v>
      </c>
      <c r="D148" t="s">
        <v>28</v>
      </c>
      <c r="E148">
        <v>5</v>
      </c>
      <c r="F148">
        <v>2306.85</v>
      </c>
      <c r="G148">
        <v>11534.25</v>
      </c>
      <c r="H148">
        <v>1233</v>
      </c>
    </row>
    <row r="149" spans="1:8" x14ac:dyDescent="0.3">
      <c r="A149" s="2">
        <v>45347</v>
      </c>
      <c r="B149" t="s">
        <v>9</v>
      </c>
      <c r="C149" t="s">
        <v>15</v>
      </c>
      <c r="D149" t="s">
        <v>23</v>
      </c>
      <c r="E149">
        <v>7</v>
      </c>
      <c r="F149">
        <v>791.14</v>
      </c>
      <c r="G149">
        <v>5537.98</v>
      </c>
      <c r="H149">
        <v>995.04</v>
      </c>
    </row>
    <row r="150" spans="1:8" x14ac:dyDescent="0.3">
      <c r="A150" s="2">
        <v>45347</v>
      </c>
      <c r="B150" t="s">
        <v>9</v>
      </c>
      <c r="C150" t="s">
        <v>16</v>
      </c>
      <c r="D150" t="s">
        <v>29</v>
      </c>
      <c r="E150">
        <v>3</v>
      </c>
      <c r="F150">
        <v>657.94</v>
      </c>
      <c r="G150">
        <v>1973.82</v>
      </c>
      <c r="H150">
        <v>455.21</v>
      </c>
    </row>
    <row r="151" spans="1:8" x14ac:dyDescent="0.3">
      <c r="A151" s="2">
        <v>45347</v>
      </c>
      <c r="B151" t="s">
        <v>10</v>
      </c>
      <c r="C151" t="s">
        <v>16</v>
      </c>
      <c r="D151" t="s">
        <v>26</v>
      </c>
      <c r="E151">
        <v>10</v>
      </c>
      <c r="F151">
        <v>786.24</v>
      </c>
      <c r="G151">
        <v>7862.4</v>
      </c>
      <c r="H151">
        <v>1330.1</v>
      </c>
    </row>
    <row r="152" spans="1:8" x14ac:dyDescent="0.3">
      <c r="A152" s="2">
        <v>45348</v>
      </c>
      <c r="B152" t="s">
        <v>12</v>
      </c>
      <c r="C152" t="s">
        <v>15</v>
      </c>
      <c r="D152" t="s">
        <v>22</v>
      </c>
      <c r="E152">
        <v>8</v>
      </c>
      <c r="F152">
        <v>2302.42</v>
      </c>
      <c r="G152">
        <v>18419.36</v>
      </c>
      <c r="H152">
        <v>3714.11</v>
      </c>
    </row>
    <row r="153" spans="1:8" x14ac:dyDescent="0.3">
      <c r="A153" s="2">
        <v>45348</v>
      </c>
      <c r="B153" t="s">
        <v>11</v>
      </c>
      <c r="C153" t="s">
        <v>14</v>
      </c>
      <c r="D153" t="s">
        <v>19</v>
      </c>
      <c r="E153">
        <v>6</v>
      </c>
      <c r="F153">
        <v>2475.3000000000002</v>
      </c>
      <c r="G153">
        <v>14851.8</v>
      </c>
      <c r="H153">
        <v>2151.63</v>
      </c>
    </row>
    <row r="154" spans="1:8" x14ac:dyDescent="0.3">
      <c r="A154" s="2">
        <v>45348</v>
      </c>
      <c r="B154" t="s">
        <v>11</v>
      </c>
      <c r="C154" t="s">
        <v>15</v>
      </c>
      <c r="D154" t="s">
        <v>30</v>
      </c>
      <c r="E154">
        <v>5</v>
      </c>
      <c r="F154">
        <v>898.43</v>
      </c>
      <c r="G154">
        <v>4492.1499999999996</v>
      </c>
      <c r="H154">
        <v>708.43</v>
      </c>
    </row>
    <row r="155" spans="1:8" x14ac:dyDescent="0.3">
      <c r="A155" s="2">
        <v>45348</v>
      </c>
      <c r="B155" t="s">
        <v>8</v>
      </c>
      <c r="C155" t="s">
        <v>14</v>
      </c>
      <c r="D155" t="s">
        <v>20</v>
      </c>
      <c r="E155">
        <v>7</v>
      </c>
      <c r="F155">
        <v>1643.85</v>
      </c>
      <c r="G155">
        <v>11506.95</v>
      </c>
      <c r="H155">
        <v>2142.84</v>
      </c>
    </row>
    <row r="156" spans="1:8" x14ac:dyDescent="0.3">
      <c r="A156" s="2">
        <v>45349</v>
      </c>
      <c r="B156" t="s">
        <v>8</v>
      </c>
      <c r="C156" t="s">
        <v>14</v>
      </c>
      <c r="D156" t="s">
        <v>19</v>
      </c>
      <c r="E156">
        <v>5</v>
      </c>
      <c r="F156">
        <v>516.20000000000005</v>
      </c>
      <c r="G156">
        <v>2581</v>
      </c>
      <c r="H156">
        <v>593.01</v>
      </c>
    </row>
    <row r="157" spans="1:8" x14ac:dyDescent="0.3">
      <c r="A157" s="2">
        <v>45349</v>
      </c>
      <c r="B157" t="s">
        <v>10</v>
      </c>
      <c r="C157" t="s">
        <v>14</v>
      </c>
      <c r="D157" t="s">
        <v>19</v>
      </c>
      <c r="E157">
        <v>5</v>
      </c>
      <c r="F157">
        <v>2051.48</v>
      </c>
      <c r="G157">
        <v>10257.4</v>
      </c>
      <c r="H157">
        <v>1379.8</v>
      </c>
    </row>
    <row r="158" spans="1:8" x14ac:dyDescent="0.3">
      <c r="A158" s="2">
        <v>45349</v>
      </c>
      <c r="B158" t="s">
        <v>8</v>
      </c>
      <c r="C158" t="s">
        <v>16</v>
      </c>
      <c r="D158" t="s">
        <v>25</v>
      </c>
      <c r="E158">
        <v>4</v>
      </c>
      <c r="F158">
        <v>1741.78</v>
      </c>
      <c r="G158">
        <v>6967.12</v>
      </c>
      <c r="H158">
        <v>1405.02</v>
      </c>
    </row>
    <row r="159" spans="1:8" x14ac:dyDescent="0.3">
      <c r="A159" s="2">
        <v>45350</v>
      </c>
      <c r="B159" t="s">
        <v>10</v>
      </c>
      <c r="C159" t="s">
        <v>14</v>
      </c>
      <c r="D159" t="s">
        <v>21</v>
      </c>
      <c r="E159">
        <v>5</v>
      </c>
      <c r="F159">
        <v>2077.2199999999998</v>
      </c>
      <c r="G159">
        <v>10386.1</v>
      </c>
      <c r="H159">
        <v>1090.5899999999999</v>
      </c>
    </row>
    <row r="160" spans="1:8" x14ac:dyDescent="0.3">
      <c r="A160" s="2">
        <v>45350</v>
      </c>
      <c r="B160" t="s">
        <v>12</v>
      </c>
      <c r="C160" t="s">
        <v>16</v>
      </c>
      <c r="D160" t="s">
        <v>29</v>
      </c>
      <c r="E160">
        <v>5</v>
      </c>
      <c r="F160">
        <v>1153.44</v>
      </c>
      <c r="G160">
        <v>5767.2</v>
      </c>
      <c r="H160">
        <v>936.16</v>
      </c>
    </row>
    <row r="161" spans="1:8" x14ac:dyDescent="0.3">
      <c r="A161" s="2">
        <v>45351</v>
      </c>
      <c r="B161" t="s">
        <v>11</v>
      </c>
      <c r="C161" t="s">
        <v>15</v>
      </c>
      <c r="D161" t="s">
        <v>23</v>
      </c>
      <c r="E161">
        <v>3</v>
      </c>
      <c r="F161">
        <v>1013.94</v>
      </c>
      <c r="G161">
        <v>3041.82</v>
      </c>
      <c r="H161">
        <v>680.47</v>
      </c>
    </row>
    <row r="162" spans="1:8" x14ac:dyDescent="0.3">
      <c r="A162" s="2">
        <v>45351</v>
      </c>
      <c r="B162" t="s">
        <v>12</v>
      </c>
      <c r="C162" t="s">
        <v>15</v>
      </c>
      <c r="D162" t="s">
        <v>23</v>
      </c>
      <c r="E162">
        <v>2</v>
      </c>
      <c r="F162">
        <v>1436.66</v>
      </c>
      <c r="G162">
        <v>2873.32</v>
      </c>
      <c r="H162">
        <v>319.79000000000002</v>
      </c>
    </row>
    <row r="163" spans="1:8" x14ac:dyDescent="0.3">
      <c r="A163" s="2">
        <v>45352</v>
      </c>
      <c r="B163" t="s">
        <v>11</v>
      </c>
      <c r="C163" t="s">
        <v>15</v>
      </c>
      <c r="D163" t="s">
        <v>22</v>
      </c>
      <c r="E163">
        <v>7</v>
      </c>
      <c r="F163">
        <v>527.84</v>
      </c>
      <c r="G163">
        <v>3694.88</v>
      </c>
      <c r="H163">
        <v>666.87</v>
      </c>
    </row>
    <row r="164" spans="1:8" x14ac:dyDescent="0.3">
      <c r="A164" s="2">
        <v>45352</v>
      </c>
      <c r="B164" t="s">
        <v>10</v>
      </c>
      <c r="C164" t="s">
        <v>15</v>
      </c>
      <c r="D164" t="s">
        <v>23</v>
      </c>
      <c r="E164">
        <v>10</v>
      </c>
      <c r="F164">
        <v>1262.05</v>
      </c>
      <c r="G164">
        <v>12620.5</v>
      </c>
      <c r="H164">
        <v>2470.87</v>
      </c>
    </row>
    <row r="165" spans="1:8" x14ac:dyDescent="0.3">
      <c r="A165" s="2">
        <v>45352</v>
      </c>
      <c r="B165" t="s">
        <v>9</v>
      </c>
      <c r="C165" t="s">
        <v>14</v>
      </c>
      <c r="D165" t="s">
        <v>20</v>
      </c>
      <c r="E165">
        <v>8</v>
      </c>
      <c r="F165">
        <v>550.04999999999995</v>
      </c>
      <c r="G165">
        <v>4400.3999999999996</v>
      </c>
      <c r="H165">
        <v>1023.69</v>
      </c>
    </row>
    <row r="166" spans="1:8" x14ac:dyDescent="0.3">
      <c r="A166" s="2">
        <v>45352</v>
      </c>
      <c r="B166" t="s">
        <v>8</v>
      </c>
      <c r="C166" t="s">
        <v>15</v>
      </c>
      <c r="D166" t="s">
        <v>24</v>
      </c>
      <c r="E166">
        <v>2</v>
      </c>
      <c r="F166">
        <v>1770.81</v>
      </c>
      <c r="G166">
        <v>3541.62</v>
      </c>
      <c r="H166">
        <v>600.79999999999995</v>
      </c>
    </row>
    <row r="167" spans="1:8" x14ac:dyDescent="0.3">
      <c r="A167" s="2">
        <v>45353</v>
      </c>
      <c r="B167" t="s">
        <v>11</v>
      </c>
      <c r="C167" t="s">
        <v>17</v>
      </c>
      <c r="D167" t="s">
        <v>28</v>
      </c>
      <c r="E167">
        <v>3</v>
      </c>
      <c r="F167">
        <v>590.69000000000005</v>
      </c>
      <c r="G167">
        <v>1772.07</v>
      </c>
      <c r="H167">
        <v>187.1</v>
      </c>
    </row>
    <row r="168" spans="1:8" x14ac:dyDescent="0.3">
      <c r="A168" s="2">
        <v>45353</v>
      </c>
      <c r="B168" t="s">
        <v>11</v>
      </c>
      <c r="C168" t="s">
        <v>14</v>
      </c>
      <c r="D168" t="s">
        <v>21</v>
      </c>
      <c r="E168">
        <v>4</v>
      </c>
      <c r="F168">
        <v>2274.52</v>
      </c>
      <c r="G168">
        <v>9098.08</v>
      </c>
      <c r="H168">
        <v>1094.95</v>
      </c>
    </row>
    <row r="169" spans="1:8" x14ac:dyDescent="0.3">
      <c r="A169" s="2">
        <v>45353</v>
      </c>
      <c r="B169" t="s">
        <v>11</v>
      </c>
      <c r="C169" t="s">
        <v>15</v>
      </c>
      <c r="D169" t="s">
        <v>30</v>
      </c>
      <c r="E169">
        <v>10</v>
      </c>
      <c r="F169">
        <v>1984.54</v>
      </c>
      <c r="G169">
        <v>19845.400000000001</v>
      </c>
      <c r="H169">
        <v>2444.5300000000002</v>
      </c>
    </row>
    <row r="170" spans="1:8" x14ac:dyDescent="0.3">
      <c r="A170" s="2">
        <v>45354</v>
      </c>
      <c r="B170" t="s">
        <v>11</v>
      </c>
      <c r="C170" t="s">
        <v>17</v>
      </c>
      <c r="D170" t="s">
        <v>27</v>
      </c>
      <c r="E170">
        <v>5</v>
      </c>
      <c r="F170">
        <v>565.42999999999995</v>
      </c>
      <c r="G170">
        <v>2827.15</v>
      </c>
      <c r="H170">
        <v>439.85</v>
      </c>
    </row>
    <row r="171" spans="1:8" x14ac:dyDescent="0.3">
      <c r="A171" s="2">
        <v>45355</v>
      </c>
      <c r="B171" t="s">
        <v>8</v>
      </c>
      <c r="C171" t="s">
        <v>16</v>
      </c>
      <c r="D171" t="s">
        <v>26</v>
      </c>
      <c r="E171">
        <v>2</v>
      </c>
      <c r="F171">
        <v>2461.86</v>
      </c>
      <c r="G171">
        <v>4923.72</v>
      </c>
      <c r="H171">
        <v>763.67</v>
      </c>
    </row>
    <row r="172" spans="1:8" x14ac:dyDescent="0.3">
      <c r="A172" s="2">
        <v>45355</v>
      </c>
      <c r="B172" t="s">
        <v>11</v>
      </c>
      <c r="C172" t="s">
        <v>15</v>
      </c>
      <c r="D172" t="s">
        <v>22</v>
      </c>
      <c r="E172">
        <v>7</v>
      </c>
      <c r="F172">
        <v>1051.76</v>
      </c>
      <c r="G172">
        <v>7362.32</v>
      </c>
      <c r="H172">
        <v>1805.47</v>
      </c>
    </row>
    <row r="173" spans="1:8" x14ac:dyDescent="0.3">
      <c r="A173" s="2">
        <v>45355</v>
      </c>
      <c r="B173" t="s">
        <v>10</v>
      </c>
      <c r="C173" t="s">
        <v>14</v>
      </c>
      <c r="D173" t="s">
        <v>20</v>
      </c>
      <c r="E173">
        <v>10</v>
      </c>
      <c r="F173">
        <v>2442.19</v>
      </c>
      <c r="G173">
        <v>24421.9</v>
      </c>
      <c r="H173">
        <v>2627.47</v>
      </c>
    </row>
    <row r="174" spans="1:8" x14ac:dyDescent="0.3">
      <c r="A174" s="2">
        <v>45355</v>
      </c>
      <c r="B174" t="s">
        <v>9</v>
      </c>
      <c r="C174" t="s">
        <v>16</v>
      </c>
      <c r="D174" t="s">
        <v>29</v>
      </c>
      <c r="E174">
        <v>10</v>
      </c>
      <c r="F174">
        <v>910.41</v>
      </c>
      <c r="G174">
        <v>9104.1</v>
      </c>
      <c r="H174">
        <v>2043.62</v>
      </c>
    </row>
    <row r="175" spans="1:8" x14ac:dyDescent="0.3">
      <c r="A175" s="2">
        <v>45356</v>
      </c>
      <c r="B175" t="s">
        <v>9</v>
      </c>
      <c r="C175" t="s">
        <v>16</v>
      </c>
      <c r="D175" t="s">
        <v>29</v>
      </c>
      <c r="E175">
        <v>6</v>
      </c>
      <c r="F175">
        <v>2048.7399999999998</v>
      </c>
      <c r="G175">
        <v>12292.44</v>
      </c>
      <c r="H175">
        <v>2683.4</v>
      </c>
    </row>
    <row r="176" spans="1:8" x14ac:dyDescent="0.3">
      <c r="A176" s="2">
        <v>45356</v>
      </c>
      <c r="B176" t="s">
        <v>12</v>
      </c>
      <c r="C176" t="s">
        <v>14</v>
      </c>
      <c r="D176" t="s">
        <v>18</v>
      </c>
      <c r="E176">
        <v>3</v>
      </c>
      <c r="F176">
        <v>2475.0500000000002</v>
      </c>
      <c r="G176">
        <v>7425.15</v>
      </c>
      <c r="H176">
        <v>1344.19</v>
      </c>
    </row>
    <row r="177" spans="1:8" x14ac:dyDescent="0.3">
      <c r="A177" s="2">
        <v>45357</v>
      </c>
      <c r="B177" t="s">
        <v>9</v>
      </c>
      <c r="C177" t="s">
        <v>14</v>
      </c>
      <c r="D177" t="s">
        <v>20</v>
      </c>
      <c r="E177">
        <v>1</v>
      </c>
      <c r="F177">
        <v>1216.48</v>
      </c>
      <c r="G177">
        <v>1216.48</v>
      </c>
      <c r="H177">
        <v>265.51</v>
      </c>
    </row>
    <row r="178" spans="1:8" x14ac:dyDescent="0.3">
      <c r="A178" s="2">
        <v>45358</v>
      </c>
      <c r="B178" t="s">
        <v>9</v>
      </c>
      <c r="C178" t="s">
        <v>14</v>
      </c>
      <c r="D178" t="s">
        <v>20</v>
      </c>
      <c r="E178">
        <v>5</v>
      </c>
      <c r="F178">
        <v>604.79999999999995</v>
      </c>
      <c r="G178">
        <v>3024</v>
      </c>
      <c r="H178">
        <v>638.84</v>
      </c>
    </row>
    <row r="179" spans="1:8" x14ac:dyDescent="0.3">
      <c r="A179" s="2">
        <v>45358</v>
      </c>
      <c r="B179" t="s">
        <v>9</v>
      </c>
      <c r="C179" t="s">
        <v>14</v>
      </c>
      <c r="D179" t="s">
        <v>21</v>
      </c>
      <c r="E179">
        <v>8</v>
      </c>
      <c r="F179">
        <v>1396.55</v>
      </c>
      <c r="G179">
        <v>11172.4</v>
      </c>
      <c r="H179">
        <v>1723.97</v>
      </c>
    </row>
    <row r="180" spans="1:8" x14ac:dyDescent="0.3">
      <c r="A180" s="2">
        <v>45358</v>
      </c>
      <c r="B180" t="s">
        <v>8</v>
      </c>
      <c r="C180" t="s">
        <v>14</v>
      </c>
      <c r="D180" t="s">
        <v>19</v>
      </c>
      <c r="E180">
        <v>9</v>
      </c>
      <c r="F180">
        <v>943.1</v>
      </c>
      <c r="G180">
        <v>8487.9</v>
      </c>
      <c r="H180">
        <v>1631.93</v>
      </c>
    </row>
    <row r="181" spans="1:8" x14ac:dyDescent="0.3">
      <c r="A181" s="2">
        <v>45359</v>
      </c>
      <c r="B181" t="s">
        <v>11</v>
      </c>
      <c r="C181" t="s">
        <v>15</v>
      </c>
      <c r="D181" t="s">
        <v>30</v>
      </c>
      <c r="E181">
        <v>1</v>
      </c>
      <c r="F181">
        <v>621.65</v>
      </c>
      <c r="G181">
        <v>621.65</v>
      </c>
      <c r="H181">
        <v>106.83</v>
      </c>
    </row>
    <row r="182" spans="1:8" x14ac:dyDescent="0.3">
      <c r="A182" s="2">
        <v>45359</v>
      </c>
      <c r="B182" t="s">
        <v>13</v>
      </c>
      <c r="C182" t="s">
        <v>17</v>
      </c>
      <c r="D182" t="s">
        <v>28</v>
      </c>
      <c r="E182">
        <v>8</v>
      </c>
      <c r="F182">
        <v>1924.8</v>
      </c>
      <c r="G182">
        <v>15398.4</v>
      </c>
      <c r="H182">
        <v>2564.36</v>
      </c>
    </row>
    <row r="183" spans="1:8" x14ac:dyDescent="0.3">
      <c r="A183" s="2">
        <v>45359</v>
      </c>
      <c r="B183" t="s">
        <v>9</v>
      </c>
      <c r="C183" t="s">
        <v>15</v>
      </c>
      <c r="D183" t="s">
        <v>24</v>
      </c>
      <c r="E183">
        <v>2</v>
      </c>
      <c r="F183">
        <v>752.38</v>
      </c>
      <c r="G183">
        <v>1504.76</v>
      </c>
      <c r="H183">
        <v>291.39</v>
      </c>
    </row>
    <row r="184" spans="1:8" x14ac:dyDescent="0.3">
      <c r="A184" s="2">
        <v>45359</v>
      </c>
      <c r="B184" t="s">
        <v>9</v>
      </c>
      <c r="C184" t="s">
        <v>15</v>
      </c>
      <c r="D184" t="s">
        <v>30</v>
      </c>
      <c r="E184">
        <v>10</v>
      </c>
      <c r="F184">
        <v>1561.11</v>
      </c>
      <c r="G184">
        <v>15611.1</v>
      </c>
      <c r="H184">
        <v>2623.56</v>
      </c>
    </row>
    <row r="185" spans="1:8" x14ac:dyDescent="0.3">
      <c r="A185" s="2">
        <v>45359</v>
      </c>
      <c r="B185" t="s">
        <v>9</v>
      </c>
      <c r="C185" t="s">
        <v>17</v>
      </c>
      <c r="D185" t="s">
        <v>28</v>
      </c>
      <c r="E185">
        <v>2</v>
      </c>
      <c r="F185">
        <v>2205.59</v>
      </c>
      <c r="G185">
        <v>4411.18</v>
      </c>
      <c r="H185">
        <v>871.81</v>
      </c>
    </row>
    <row r="186" spans="1:8" x14ac:dyDescent="0.3">
      <c r="A186" s="2">
        <v>45360</v>
      </c>
      <c r="B186" t="s">
        <v>11</v>
      </c>
      <c r="C186" t="s">
        <v>17</v>
      </c>
      <c r="D186" t="s">
        <v>27</v>
      </c>
      <c r="E186">
        <v>4</v>
      </c>
      <c r="F186">
        <v>1327.63</v>
      </c>
      <c r="G186">
        <v>5310.52</v>
      </c>
      <c r="H186">
        <v>1190.1600000000001</v>
      </c>
    </row>
    <row r="187" spans="1:8" x14ac:dyDescent="0.3">
      <c r="A187" s="2">
        <v>45360</v>
      </c>
      <c r="B187" t="s">
        <v>10</v>
      </c>
      <c r="C187" t="s">
        <v>17</v>
      </c>
      <c r="D187" t="s">
        <v>28</v>
      </c>
      <c r="E187">
        <v>6</v>
      </c>
      <c r="F187">
        <v>1353.53</v>
      </c>
      <c r="G187">
        <v>8121.18</v>
      </c>
      <c r="H187">
        <v>1622.34</v>
      </c>
    </row>
    <row r="188" spans="1:8" x14ac:dyDescent="0.3">
      <c r="A188" s="2">
        <v>45361</v>
      </c>
      <c r="B188" t="s">
        <v>13</v>
      </c>
      <c r="C188" t="s">
        <v>17</v>
      </c>
      <c r="D188" t="s">
        <v>28</v>
      </c>
      <c r="E188">
        <v>2</v>
      </c>
      <c r="F188">
        <v>2163.54</v>
      </c>
      <c r="G188">
        <v>4327.08</v>
      </c>
      <c r="H188">
        <v>493.22</v>
      </c>
    </row>
    <row r="189" spans="1:8" x14ac:dyDescent="0.3">
      <c r="A189" s="2">
        <v>45361</v>
      </c>
      <c r="B189" t="s">
        <v>9</v>
      </c>
      <c r="C189" t="s">
        <v>15</v>
      </c>
      <c r="D189" t="s">
        <v>24</v>
      </c>
      <c r="E189">
        <v>9</v>
      </c>
      <c r="F189">
        <v>619.96</v>
      </c>
      <c r="G189">
        <v>5579.64</v>
      </c>
      <c r="H189">
        <v>1358.61</v>
      </c>
    </row>
    <row r="190" spans="1:8" x14ac:dyDescent="0.3">
      <c r="A190" s="2">
        <v>45362</v>
      </c>
      <c r="B190" t="s">
        <v>11</v>
      </c>
      <c r="C190" t="s">
        <v>14</v>
      </c>
      <c r="D190" t="s">
        <v>19</v>
      </c>
      <c r="E190">
        <v>6</v>
      </c>
      <c r="F190">
        <v>2247.21</v>
      </c>
      <c r="G190">
        <v>13483.26</v>
      </c>
      <c r="H190">
        <v>3251.75</v>
      </c>
    </row>
    <row r="191" spans="1:8" x14ac:dyDescent="0.3">
      <c r="A191" s="2">
        <v>45362</v>
      </c>
      <c r="B191" t="s">
        <v>9</v>
      </c>
      <c r="C191" t="s">
        <v>14</v>
      </c>
      <c r="D191" t="s">
        <v>18</v>
      </c>
      <c r="E191">
        <v>10</v>
      </c>
      <c r="F191">
        <v>1124.9000000000001</v>
      </c>
      <c r="G191">
        <v>11249</v>
      </c>
      <c r="H191">
        <v>1299.71</v>
      </c>
    </row>
    <row r="192" spans="1:8" x14ac:dyDescent="0.3">
      <c r="A192" s="2">
        <v>45362</v>
      </c>
      <c r="B192" t="s">
        <v>9</v>
      </c>
      <c r="C192" t="s">
        <v>16</v>
      </c>
      <c r="D192" t="s">
        <v>29</v>
      </c>
      <c r="E192">
        <v>8</v>
      </c>
      <c r="F192">
        <v>948.49</v>
      </c>
      <c r="G192">
        <v>7587.92</v>
      </c>
      <c r="H192">
        <v>881.96</v>
      </c>
    </row>
    <row r="193" spans="1:8" x14ac:dyDescent="0.3">
      <c r="A193" s="2">
        <v>45363</v>
      </c>
      <c r="B193" t="s">
        <v>9</v>
      </c>
      <c r="C193" t="s">
        <v>14</v>
      </c>
      <c r="D193" t="s">
        <v>18</v>
      </c>
      <c r="E193">
        <v>10</v>
      </c>
      <c r="F193">
        <v>952.32</v>
      </c>
      <c r="G193">
        <v>9523.2000000000007</v>
      </c>
      <c r="H193">
        <v>1565.3</v>
      </c>
    </row>
    <row r="194" spans="1:8" x14ac:dyDescent="0.3">
      <c r="A194" s="2">
        <v>45363</v>
      </c>
      <c r="B194" t="s">
        <v>10</v>
      </c>
      <c r="C194" t="s">
        <v>14</v>
      </c>
      <c r="D194" t="s">
        <v>18</v>
      </c>
      <c r="E194">
        <v>1</v>
      </c>
      <c r="F194">
        <v>860.83</v>
      </c>
      <c r="G194">
        <v>860.83</v>
      </c>
      <c r="H194">
        <v>176.82</v>
      </c>
    </row>
    <row r="195" spans="1:8" x14ac:dyDescent="0.3">
      <c r="A195" s="2">
        <v>45363</v>
      </c>
      <c r="B195" t="s">
        <v>8</v>
      </c>
      <c r="C195" t="s">
        <v>15</v>
      </c>
      <c r="D195" t="s">
        <v>23</v>
      </c>
      <c r="E195">
        <v>1</v>
      </c>
      <c r="F195">
        <v>862.81</v>
      </c>
      <c r="G195">
        <v>862.81</v>
      </c>
      <c r="H195">
        <v>104.82</v>
      </c>
    </row>
    <row r="196" spans="1:8" x14ac:dyDescent="0.3">
      <c r="A196" s="2">
        <v>45364</v>
      </c>
      <c r="B196" t="s">
        <v>11</v>
      </c>
      <c r="C196" t="s">
        <v>14</v>
      </c>
      <c r="D196" t="s">
        <v>20</v>
      </c>
      <c r="E196">
        <v>1</v>
      </c>
      <c r="F196">
        <v>683.52</v>
      </c>
      <c r="G196">
        <v>683.52</v>
      </c>
      <c r="H196">
        <v>122.74</v>
      </c>
    </row>
    <row r="197" spans="1:8" x14ac:dyDescent="0.3">
      <c r="A197" s="2">
        <v>45364</v>
      </c>
      <c r="B197" t="s">
        <v>10</v>
      </c>
      <c r="C197" t="s">
        <v>17</v>
      </c>
      <c r="D197" t="s">
        <v>27</v>
      </c>
      <c r="E197">
        <v>6</v>
      </c>
      <c r="F197">
        <v>814.82</v>
      </c>
      <c r="G197">
        <v>4888.92</v>
      </c>
      <c r="H197">
        <v>717.43</v>
      </c>
    </row>
    <row r="198" spans="1:8" x14ac:dyDescent="0.3">
      <c r="A198" s="2">
        <v>45364</v>
      </c>
      <c r="B198" t="s">
        <v>8</v>
      </c>
      <c r="C198" t="s">
        <v>14</v>
      </c>
      <c r="D198" t="s">
        <v>21</v>
      </c>
      <c r="E198">
        <v>3</v>
      </c>
      <c r="F198">
        <v>814.82</v>
      </c>
      <c r="G198">
        <v>2444.46</v>
      </c>
      <c r="H198">
        <v>470.99</v>
      </c>
    </row>
    <row r="199" spans="1:8" x14ac:dyDescent="0.3">
      <c r="A199" s="2">
        <v>45364</v>
      </c>
      <c r="B199" t="s">
        <v>11</v>
      </c>
      <c r="C199" t="s">
        <v>14</v>
      </c>
      <c r="D199" t="s">
        <v>18</v>
      </c>
      <c r="E199">
        <v>8</v>
      </c>
      <c r="F199">
        <v>1823.88</v>
      </c>
      <c r="G199">
        <v>14591.04</v>
      </c>
      <c r="H199">
        <v>2522.0500000000002</v>
      </c>
    </row>
    <row r="200" spans="1:8" x14ac:dyDescent="0.3">
      <c r="A200" s="2">
        <v>45365</v>
      </c>
      <c r="B200" t="s">
        <v>10</v>
      </c>
      <c r="C200" t="s">
        <v>15</v>
      </c>
      <c r="D200" t="s">
        <v>24</v>
      </c>
      <c r="E200">
        <v>9</v>
      </c>
      <c r="F200">
        <v>727.64</v>
      </c>
      <c r="G200">
        <v>6548.76</v>
      </c>
      <c r="H200">
        <v>1077.19</v>
      </c>
    </row>
    <row r="201" spans="1:8" x14ac:dyDescent="0.3">
      <c r="A201" s="2">
        <v>45365</v>
      </c>
      <c r="B201" t="s">
        <v>13</v>
      </c>
      <c r="C201" t="s">
        <v>17</v>
      </c>
      <c r="D201" t="s">
        <v>27</v>
      </c>
      <c r="E201">
        <v>1</v>
      </c>
      <c r="F201">
        <v>941.04</v>
      </c>
      <c r="G201">
        <v>941.04</v>
      </c>
      <c r="H201">
        <v>233.06</v>
      </c>
    </row>
    <row r="202" spans="1:8" x14ac:dyDescent="0.3">
      <c r="A202" s="2">
        <v>45365</v>
      </c>
      <c r="B202" t="s">
        <v>10</v>
      </c>
      <c r="C202" t="s">
        <v>14</v>
      </c>
      <c r="D202" t="s">
        <v>20</v>
      </c>
      <c r="E202">
        <v>5</v>
      </c>
      <c r="F202">
        <v>2390.65</v>
      </c>
      <c r="G202">
        <v>11953.25</v>
      </c>
      <c r="H202">
        <v>2571.17</v>
      </c>
    </row>
    <row r="203" spans="1:8" x14ac:dyDescent="0.3">
      <c r="A203" s="2">
        <v>45365</v>
      </c>
      <c r="B203" t="s">
        <v>12</v>
      </c>
      <c r="C203" t="s">
        <v>15</v>
      </c>
      <c r="D203" t="s">
        <v>23</v>
      </c>
      <c r="E203">
        <v>2</v>
      </c>
      <c r="F203">
        <v>515.46</v>
      </c>
      <c r="G203">
        <v>1030.92</v>
      </c>
      <c r="H203">
        <v>218.61</v>
      </c>
    </row>
    <row r="204" spans="1:8" x14ac:dyDescent="0.3">
      <c r="A204" s="2">
        <v>45366</v>
      </c>
      <c r="B204" t="s">
        <v>10</v>
      </c>
      <c r="C204" t="s">
        <v>17</v>
      </c>
      <c r="D204" t="s">
        <v>28</v>
      </c>
      <c r="E204">
        <v>9</v>
      </c>
      <c r="F204">
        <v>1617.45</v>
      </c>
      <c r="G204">
        <v>14557.05</v>
      </c>
      <c r="H204">
        <v>2914.43</v>
      </c>
    </row>
    <row r="205" spans="1:8" x14ac:dyDescent="0.3">
      <c r="A205" s="2">
        <v>45366</v>
      </c>
      <c r="B205" t="s">
        <v>13</v>
      </c>
      <c r="C205" t="s">
        <v>14</v>
      </c>
      <c r="D205" t="s">
        <v>19</v>
      </c>
      <c r="E205">
        <v>1</v>
      </c>
      <c r="F205">
        <v>1372.44</v>
      </c>
      <c r="G205">
        <v>1372.44</v>
      </c>
      <c r="H205">
        <v>231.89</v>
      </c>
    </row>
    <row r="206" spans="1:8" x14ac:dyDescent="0.3">
      <c r="A206" s="2">
        <v>45367</v>
      </c>
      <c r="B206" t="s">
        <v>10</v>
      </c>
      <c r="C206" t="s">
        <v>17</v>
      </c>
      <c r="D206" t="s">
        <v>27</v>
      </c>
      <c r="E206">
        <v>7</v>
      </c>
      <c r="F206">
        <v>1079.03</v>
      </c>
      <c r="G206">
        <v>7553.21</v>
      </c>
      <c r="H206">
        <v>1214.22</v>
      </c>
    </row>
    <row r="207" spans="1:8" x14ac:dyDescent="0.3">
      <c r="A207" s="2">
        <v>45367</v>
      </c>
      <c r="B207" t="s">
        <v>13</v>
      </c>
      <c r="C207" t="s">
        <v>16</v>
      </c>
      <c r="D207" t="s">
        <v>25</v>
      </c>
      <c r="E207">
        <v>8</v>
      </c>
      <c r="F207">
        <v>2164.0500000000002</v>
      </c>
      <c r="G207">
        <v>17312.400000000001</v>
      </c>
      <c r="H207">
        <v>4119.75</v>
      </c>
    </row>
    <row r="208" spans="1:8" x14ac:dyDescent="0.3">
      <c r="A208" s="2">
        <v>45367</v>
      </c>
      <c r="B208" t="s">
        <v>13</v>
      </c>
      <c r="C208" t="s">
        <v>17</v>
      </c>
      <c r="D208" t="s">
        <v>28</v>
      </c>
      <c r="E208">
        <v>4</v>
      </c>
      <c r="F208">
        <v>1371.35</v>
      </c>
      <c r="G208">
        <v>5485.4</v>
      </c>
      <c r="H208">
        <v>878.03</v>
      </c>
    </row>
    <row r="209" spans="1:8" x14ac:dyDescent="0.3">
      <c r="A209" s="2">
        <v>45368</v>
      </c>
      <c r="B209" t="s">
        <v>9</v>
      </c>
      <c r="C209" t="s">
        <v>15</v>
      </c>
      <c r="D209" t="s">
        <v>23</v>
      </c>
      <c r="E209">
        <v>4</v>
      </c>
      <c r="F209">
        <v>1166.1400000000001</v>
      </c>
      <c r="G209">
        <v>4664.5600000000004</v>
      </c>
      <c r="H209">
        <v>584.1</v>
      </c>
    </row>
    <row r="210" spans="1:8" x14ac:dyDescent="0.3">
      <c r="A210" s="2">
        <v>45368</v>
      </c>
      <c r="B210" t="s">
        <v>8</v>
      </c>
      <c r="C210" t="s">
        <v>14</v>
      </c>
      <c r="D210" t="s">
        <v>20</v>
      </c>
      <c r="E210">
        <v>6</v>
      </c>
      <c r="F210">
        <v>1202.2</v>
      </c>
      <c r="G210">
        <v>7213.2</v>
      </c>
      <c r="H210">
        <v>1758.1</v>
      </c>
    </row>
    <row r="211" spans="1:8" x14ac:dyDescent="0.3">
      <c r="A211" s="2">
        <v>45368</v>
      </c>
      <c r="B211" t="s">
        <v>9</v>
      </c>
      <c r="C211" t="s">
        <v>16</v>
      </c>
      <c r="D211" t="s">
        <v>29</v>
      </c>
      <c r="E211">
        <v>2</v>
      </c>
      <c r="F211">
        <v>792.89</v>
      </c>
      <c r="G211">
        <v>1585.78</v>
      </c>
      <c r="H211">
        <v>205.5</v>
      </c>
    </row>
    <row r="212" spans="1:8" x14ac:dyDescent="0.3">
      <c r="A212" s="2">
        <v>45368</v>
      </c>
      <c r="B212" t="s">
        <v>11</v>
      </c>
      <c r="C212" t="s">
        <v>16</v>
      </c>
      <c r="D212" t="s">
        <v>25</v>
      </c>
      <c r="E212">
        <v>2</v>
      </c>
      <c r="F212">
        <v>854.29</v>
      </c>
      <c r="G212">
        <v>1708.58</v>
      </c>
      <c r="H212">
        <v>368.93</v>
      </c>
    </row>
    <row r="213" spans="1:8" x14ac:dyDescent="0.3">
      <c r="A213" s="2">
        <v>45369</v>
      </c>
      <c r="B213" t="s">
        <v>11</v>
      </c>
      <c r="C213" t="s">
        <v>17</v>
      </c>
      <c r="D213" t="s">
        <v>27</v>
      </c>
      <c r="E213">
        <v>6</v>
      </c>
      <c r="F213">
        <v>801.91</v>
      </c>
      <c r="G213">
        <v>4811.46</v>
      </c>
      <c r="H213">
        <v>530.42999999999995</v>
      </c>
    </row>
    <row r="214" spans="1:8" x14ac:dyDescent="0.3">
      <c r="A214" s="2">
        <v>45369</v>
      </c>
      <c r="B214" t="s">
        <v>10</v>
      </c>
      <c r="C214" t="s">
        <v>15</v>
      </c>
      <c r="D214" t="s">
        <v>23</v>
      </c>
      <c r="E214">
        <v>10</v>
      </c>
      <c r="F214">
        <v>612.34</v>
      </c>
      <c r="G214">
        <v>6123.4</v>
      </c>
      <c r="H214">
        <v>1078.33</v>
      </c>
    </row>
    <row r="215" spans="1:8" x14ac:dyDescent="0.3">
      <c r="A215" s="2">
        <v>45369</v>
      </c>
      <c r="B215" t="s">
        <v>13</v>
      </c>
      <c r="C215" t="s">
        <v>17</v>
      </c>
      <c r="D215" t="s">
        <v>27</v>
      </c>
      <c r="E215">
        <v>1</v>
      </c>
      <c r="F215">
        <v>613.78</v>
      </c>
      <c r="G215">
        <v>613.78</v>
      </c>
      <c r="H215">
        <v>137.94999999999999</v>
      </c>
    </row>
    <row r="216" spans="1:8" x14ac:dyDescent="0.3">
      <c r="A216" s="2">
        <v>45369</v>
      </c>
      <c r="B216" t="s">
        <v>8</v>
      </c>
      <c r="C216" t="s">
        <v>14</v>
      </c>
      <c r="D216" t="s">
        <v>19</v>
      </c>
      <c r="E216">
        <v>8</v>
      </c>
      <c r="F216">
        <v>1660.66</v>
      </c>
      <c r="G216">
        <v>13285.28</v>
      </c>
      <c r="H216">
        <v>3230.11</v>
      </c>
    </row>
    <row r="217" spans="1:8" x14ac:dyDescent="0.3">
      <c r="A217" s="2">
        <v>45370</v>
      </c>
      <c r="B217" t="s">
        <v>13</v>
      </c>
      <c r="C217" t="s">
        <v>17</v>
      </c>
      <c r="D217" t="s">
        <v>28</v>
      </c>
      <c r="E217">
        <v>6</v>
      </c>
      <c r="F217">
        <v>1710.01</v>
      </c>
      <c r="G217">
        <v>10260.06</v>
      </c>
      <c r="H217">
        <v>1797.61</v>
      </c>
    </row>
    <row r="218" spans="1:8" x14ac:dyDescent="0.3">
      <c r="A218" s="2">
        <v>45371</v>
      </c>
      <c r="B218" t="s">
        <v>12</v>
      </c>
      <c r="C218" t="s">
        <v>14</v>
      </c>
      <c r="D218" t="s">
        <v>18</v>
      </c>
      <c r="E218">
        <v>2</v>
      </c>
      <c r="F218">
        <v>1509.1</v>
      </c>
      <c r="G218">
        <v>3018.2</v>
      </c>
      <c r="H218">
        <v>379.94</v>
      </c>
    </row>
    <row r="219" spans="1:8" x14ac:dyDescent="0.3">
      <c r="A219" s="2">
        <v>45371</v>
      </c>
      <c r="B219" t="s">
        <v>10</v>
      </c>
      <c r="C219" t="s">
        <v>17</v>
      </c>
      <c r="D219" t="s">
        <v>27</v>
      </c>
      <c r="E219">
        <v>9</v>
      </c>
      <c r="F219">
        <v>1545.5</v>
      </c>
      <c r="G219">
        <v>13909.5</v>
      </c>
      <c r="H219">
        <v>1722.16</v>
      </c>
    </row>
    <row r="220" spans="1:8" x14ac:dyDescent="0.3">
      <c r="A220" s="2">
        <v>45371</v>
      </c>
      <c r="B220" t="s">
        <v>13</v>
      </c>
      <c r="C220" t="s">
        <v>15</v>
      </c>
      <c r="D220" t="s">
        <v>30</v>
      </c>
      <c r="E220">
        <v>7</v>
      </c>
      <c r="F220">
        <v>2048.9299999999998</v>
      </c>
      <c r="G220">
        <v>14342.51</v>
      </c>
      <c r="H220">
        <v>2894.82</v>
      </c>
    </row>
    <row r="221" spans="1:8" x14ac:dyDescent="0.3">
      <c r="A221" s="2">
        <v>45371</v>
      </c>
      <c r="B221" t="s">
        <v>10</v>
      </c>
      <c r="C221" t="s">
        <v>15</v>
      </c>
      <c r="D221" t="s">
        <v>22</v>
      </c>
      <c r="E221">
        <v>6</v>
      </c>
      <c r="F221">
        <v>689.01</v>
      </c>
      <c r="G221">
        <v>4134.0600000000004</v>
      </c>
      <c r="H221">
        <v>834.08</v>
      </c>
    </row>
    <row r="222" spans="1:8" x14ac:dyDescent="0.3">
      <c r="A222" s="2">
        <v>45372</v>
      </c>
      <c r="B222" t="s">
        <v>10</v>
      </c>
      <c r="C222" t="s">
        <v>16</v>
      </c>
      <c r="D222" t="s">
        <v>26</v>
      </c>
      <c r="E222">
        <v>2</v>
      </c>
      <c r="F222">
        <v>1665.48</v>
      </c>
      <c r="G222">
        <v>3330.96</v>
      </c>
      <c r="H222">
        <v>403.76</v>
      </c>
    </row>
    <row r="223" spans="1:8" x14ac:dyDescent="0.3">
      <c r="A223" s="2">
        <v>45372</v>
      </c>
      <c r="B223" t="s">
        <v>10</v>
      </c>
      <c r="C223" t="s">
        <v>15</v>
      </c>
      <c r="D223" t="s">
        <v>30</v>
      </c>
      <c r="E223">
        <v>3</v>
      </c>
      <c r="F223">
        <v>1690.08</v>
      </c>
      <c r="G223">
        <v>5070.24</v>
      </c>
      <c r="H223">
        <v>1220.4100000000001</v>
      </c>
    </row>
    <row r="224" spans="1:8" x14ac:dyDescent="0.3">
      <c r="A224" s="2">
        <v>45372</v>
      </c>
      <c r="B224" t="s">
        <v>8</v>
      </c>
      <c r="C224" t="s">
        <v>17</v>
      </c>
      <c r="D224" t="s">
        <v>27</v>
      </c>
      <c r="E224">
        <v>3</v>
      </c>
      <c r="F224">
        <v>1840.23</v>
      </c>
      <c r="G224">
        <v>5520.69</v>
      </c>
      <c r="H224">
        <v>1238.53</v>
      </c>
    </row>
    <row r="225" spans="1:8" x14ac:dyDescent="0.3">
      <c r="A225" s="2">
        <v>45373</v>
      </c>
      <c r="B225" t="s">
        <v>12</v>
      </c>
      <c r="C225" t="s">
        <v>14</v>
      </c>
      <c r="D225" t="s">
        <v>19</v>
      </c>
      <c r="E225">
        <v>9</v>
      </c>
      <c r="F225">
        <v>1223.6600000000001</v>
      </c>
      <c r="G225">
        <v>11012.94</v>
      </c>
      <c r="H225">
        <v>1700.28</v>
      </c>
    </row>
    <row r="226" spans="1:8" x14ac:dyDescent="0.3">
      <c r="A226" s="2">
        <v>45373</v>
      </c>
      <c r="B226" t="s">
        <v>12</v>
      </c>
      <c r="C226" t="s">
        <v>16</v>
      </c>
      <c r="D226" t="s">
        <v>26</v>
      </c>
      <c r="E226">
        <v>8</v>
      </c>
      <c r="F226">
        <v>884.01</v>
      </c>
      <c r="G226">
        <v>7072.08</v>
      </c>
      <c r="H226">
        <v>1768</v>
      </c>
    </row>
    <row r="227" spans="1:8" x14ac:dyDescent="0.3">
      <c r="A227" s="2">
        <v>45373</v>
      </c>
      <c r="B227" t="s">
        <v>8</v>
      </c>
      <c r="C227" t="s">
        <v>14</v>
      </c>
      <c r="D227" t="s">
        <v>18</v>
      </c>
      <c r="E227">
        <v>2</v>
      </c>
      <c r="F227">
        <v>1515.38</v>
      </c>
      <c r="G227">
        <v>3030.76</v>
      </c>
      <c r="H227">
        <v>548.46</v>
      </c>
    </row>
    <row r="228" spans="1:8" x14ac:dyDescent="0.3">
      <c r="A228" s="2">
        <v>45373</v>
      </c>
      <c r="B228" t="s">
        <v>12</v>
      </c>
      <c r="C228" t="s">
        <v>14</v>
      </c>
      <c r="D228" t="s">
        <v>18</v>
      </c>
      <c r="E228">
        <v>10</v>
      </c>
      <c r="F228">
        <v>762.1</v>
      </c>
      <c r="G228">
        <v>7621</v>
      </c>
      <c r="H228">
        <v>1192.75</v>
      </c>
    </row>
    <row r="229" spans="1:8" x14ac:dyDescent="0.3">
      <c r="A229" s="2">
        <v>45373</v>
      </c>
      <c r="B229" t="s">
        <v>11</v>
      </c>
      <c r="C229" t="s">
        <v>16</v>
      </c>
      <c r="D229" t="s">
        <v>25</v>
      </c>
      <c r="E229">
        <v>10</v>
      </c>
      <c r="F229">
        <v>2118.09</v>
      </c>
      <c r="G229">
        <v>21180.9</v>
      </c>
      <c r="H229">
        <v>2644.03</v>
      </c>
    </row>
    <row r="230" spans="1:8" x14ac:dyDescent="0.3">
      <c r="A230" s="2">
        <v>45374</v>
      </c>
      <c r="B230" t="s">
        <v>8</v>
      </c>
      <c r="C230" t="s">
        <v>17</v>
      </c>
      <c r="D230" t="s">
        <v>27</v>
      </c>
      <c r="E230">
        <v>4</v>
      </c>
      <c r="F230">
        <v>2439.1799999999998</v>
      </c>
      <c r="G230">
        <v>9756.7199999999993</v>
      </c>
      <c r="H230">
        <v>1869.28</v>
      </c>
    </row>
    <row r="231" spans="1:8" x14ac:dyDescent="0.3">
      <c r="A231" s="2">
        <v>45375</v>
      </c>
      <c r="B231" t="s">
        <v>11</v>
      </c>
      <c r="C231" t="s">
        <v>16</v>
      </c>
      <c r="D231" t="s">
        <v>25</v>
      </c>
      <c r="E231">
        <v>4</v>
      </c>
      <c r="F231">
        <v>1118.94</v>
      </c>
      <c r="G231">
        <v>4475.76</v>
      </c>
      <c r="H231">
        <v>990.46</v>
      </c>
    </row>
    <row r="232" spans="1:8" x14ac:dyDescent="0.3">
      <c r="A232" s="2">
        <v>45375</v>
      </c>
      <c r="B232" t="s">
        <v>10</v>
      </c>
      <c r="C232" t="s">
        <v>16</v>
      </c>
      <c r="D232" t="s">
        <v>26</v>
      </c>
      <c r="E232">
        <v>10</v>
      </c>
      <c r="F232">
        <v>2468.88</v>
      </c>
      <c r="G232">
        <v>24688.799999999999</v>
      </c>
      <c r="H232">
        <v>4178.63</v>
      </c>
    </row>
    <row r="233" spans="1:8" x14ac:dyDescent="0.3">
      <c r="A233" s="2">
        <v>45375</v>
      </c>
      <c r="B233" t="s">
        <v>12</v>
      </c>
      <c r="C233" t="s">
        <v>17</v>
      </c>
      <c r="D233" t="s">
        <v>27</v>
      </c>
      <c r="E233">
        <v>3</v>
      </c>
      <c r="F233">
        <v>2133.7800000000002</v>
      </c>
      <c r="G233">
        <v>6401.34</v>
      </c>
      <c r="H233">
        <v>1409.5</v>
      </c>
    </row>
    <row r="234" spans="1:8" x14ac:dyDescent="0.3">
      <c r="A234" s="2">
        <v>45375</v>
      </c>
      <c r="B234" t="s">
        <v>13</v>
      </c>
      <c r="C234" t="s">
        <v>15</v>
      </c>
      <c r="D234" t="s">
        <v>22</v>
      </c>
      <c r="E234">
        <v>8</v>
      </c>
      <c r="F234">
        <v>2248.23</v>
      </c>
      <c r="G234">
        <v>17985.84</v>
      </c>
      <c r="H234">
        <v>3294.67</v>
      </c>
    </row>
    <row r="235" spans="1:8" x14ac:dyDescent="0.3">
      <c r="A235" s="2">
        <v>45376</v>
      </c>
      <c r="B235" t="s">
        <v>9</v>
      </c>
      <c r="C235" t="s">
        <v>14</v>
      </c>
      <c r="D235" t="s">
        <v>18</v>
      </c>
      <c r="E235">
        <v>2</v>
      </c>
      <c r="F235">
        <v>2026.23</v>
      </c>
      <c r="G235">
        <v>4052.46</v>
      </c>
      <c r="H235">
        <v>571.07000000000005</v>
      </c>
    </row>
    <row r="236" spans="1:8" x14ac:dyDescent="0.3">
      <c r="A236" s="2">
        <v>45376</v>
      </c>
      <c r="B236" t="s">
        <v>11</v>
      </c>
      <c r="C236" t="s">
        <v>16</v>
      </c>
      <c r="D236" t="s">
        <v>26</v>
      </c>
      <c r="E236">
        <v>2</v>
      </c>
      <c r="F236">
        <v>2392.83</v>
      </c>
      <c r="G236">
        <v>4785.66</v>
      </c>
      <c r="H236">
        <v>637.96</v>
      </c>
    </row>
    <row r="237" spans="1:8" x14ac:dyDescent="0.3">
      <c r="A237" s="2">
        <v>45376</v>
      </c>
      <c r="B237" t="s">
        <v>12</v>
      </c>
      <c r="C237" t="s">
        <v>15</v>
      </c>
      <c r="D237" t="s">
        <v>22</v>
      </c>
      <c r="E237">
        <v>7</v>
      </c>
      <c r="F237">
        <v>606.51</v>
      </c>
      <c r="G237">
        <v>4245.57</v>
      </c>
      <c r="H237">
        <v>744.25</v>
      </c>
    </row>
    <row r="238" spans="1:8" x14ac:dyDescent="0.3">
      <c r="A238" s="2">
        <v>45376</v>
      </c>
      <c r="B238" t="s">
        <v>13</v>
      </c>
      <c r="C238" t="s">
        <v>17</v>
      </c>
      <c r="D238" t="s">
        <v>28</v>
      </c>
      <c r="E238">
        <v>6</v>
      </c>
      <c r="F238">
        <v>949.08</v>
      </c>
      <c r="G238">
        <v>5694.48</v>
      </c>
      <c r="H238">
        <v>841.66</v>
      </c>
    </row>
    <row r="239" spans="1:8" x14ac:dyDescent="0.3">
      <c r="A239" s="2">
        <v>45376</v>
      </c>
      <c r="B239" t="s">
        <v>11</v>
      </c>
      <c r="C239" t="s">
        <v>15</v>
      </c>
      <c r="D239" t="s">
        <v>24</v>
      </c>
      <c r="E239">
        <v>3</v>
      </c>
      <c r="F239">
        <v>576.61</v>
      </c>
      <c r="G239">
        <v>1729.83</v>
      </c>
      <c r="H239">
        <v>411.02</v>
      </c>
    </row>
    <row r="240" spans="1:8" x14ac:dyDescent="0.3">
      <c r="A240" s="2">
        <v>45377</v>
      </c>
      <c r="B240" t="s">
        <v>10</v>
      </c>
      <c r="C240" t="s">
        <v>17</v>
      </c>
      <c r="D240" t="s">
        <v>27</v>
      </c>
      <c r="E240">
        <v>10</v>
      </c>
      <c r="F240">
        <v>510.5</v>
      </c>
      <c r="G240">
        <v>5105</v>
      </c>
      <c r="H240">
        <v>571.16999999999996</v>
      </c>
    </row>
    <row r="241" spans="1:8" x14ac:dyDescent="0.3">
      <c r="A241" s="2">
        <v>45377</v>
      </c>
      <c r="B241" t="s">
        <v>11</v>
      </c>
      <c r="C241" t="s">
        <v>16</v>
      </c>
      <c r="D241" t="s">
        <v>29</v>
      </c>
      <c r="E241">
        <v>9</v>
      </c>
      <c r="F241">
        <v>2380.4499999999998</v>
      </c>
      <c r="G241">
        <v>21424.05</v>
      </c>
      <c r="H241">
        <v>4099.1099999999997</v>
      </c>
    </row>
    <row r="242" spans="1:8" x14ac:dyDescent="0.3">
      <c r="A242" s="2">
        <v>45378</v>
      </c>
      <c r="B242" t="s">
        <v>8</v>
      </c>
      <c r="C242" t="s">
        <v>15</v>
      </c>
      <c r="D242" t="s">
        <v>24</v>
      </c>
      <c r="E242">
        <v>5</v>
      </c>
      <c r="F242">
        <v>743.7</v>
      </c>
      <c r="G242">
        <v>3718.5</v>
      </c>
      <c r="H242">
        <v>504.85</v>
      </c>
    </row>
    <row r="243" spans="1:8" x14ac:dyDescent="0.3">
      <c r="A243" s="2">
        <v>45379</v>
      </c>
      <c r="B243" t="s">
        <v>9</v>
      </c>
      <c r="C243" t="s">
        <v>17</v>
      </c>
      <c r="D243" t="s">
        <v>28</v>
      </c>
      <c r="E243">
        <v>2</v>
      </c>
      <c r="F243">
        <v>2173.38</v>
      </c>
      <c r="G243">
        <v>4346.76</v>
      </c>
      <c r="H243">
        <v>760.57</v>
      </c>
    </row>
    <row r="244" spans="1:8" x14ac:dyDescent="0.3">
      <c r="A244" s="2">
        <v>45379</v>
      </c>
      <c r="B244" t="s">
        <v>10</v>
      </c>
      <c r="C244" t="s">
        <v>14</v>
      </c>
      <c r="D244" t="s">
        <v>20</v>
      </c>
      <c r="E244">
        <v>3</v>
      </c>
      <c r="F244">
        <v>1082.54</v>
      </c>
      <c r="G244">
        <v>3247.62</v>
      </c>
      <c r="H244">
        <v>325.52</v>
      </c>
    </row>
    <row r="245" spans="1:8" x14ac:dyDescent="0.3">
      <c r="A245" s="2">
        <v>45379</v>
      </c>
      <c r="B245" t="s">
        <v>9</v>
      </c>
      <c r="C245" t="s">
        <v>16</v>
      </c>
      <c r="D245" t="s">
        <v>25</v>
      </c>
      <c r="E245">
        <v>7</v>
      </c>
      <c r="F245">
        <v>874.63</v>
      </c>
      <c r="G245">
        <v>6122.41</v>
      </c>
      <c r="H245">
        <v>1225.9000000000001</v>
      </c>
    </row>
    <row r="246" spans="1:8" x14ac:dyDescent="0.3">
      <c r="A246" s="2">
        <v>45379</v>
      </c>
      <c r="B246" t="s">
        <v>9</v>
      </c>
      <c r="C246" t="s">
        <v>15</v>
      </c>
      <c r="D246" t="s">
        <v>22</v>
      </c>
      <c r="E246">
        <v>9</v>
      </c>
      <c r="F246">
        <v>1588.16</v>
      </c>
      <c r="G246">
        <v>14293.44</v>
      </c>
      <c r="H246">
        <v>3115.42</v>
      </c>
    </row>
    <row r="247" spans="1:8" x14ac:dyDescent="0.3">
      <c r="A247" s="2">
        <v>45379</v>
      </c>
      <c r="B247" t="s">
        <v>10</v>
      </c>
      <c r="C247" t="s">
        <v>14</v>
      </c>
      <c r="D247" t="s">
        <v>19</v>
      </c>
      <c r="E247">
        <v>8</v>
      </c>
      <c r="F247">
        <v>587.07000000000005</v>
      </c>
      <c r="G247">
        <v>4696.5600000000004</v>
      </c>
      <c r="H247">
        <v>742.21</v>
      </c>
    </row>
    <row r="248" spans="1:8" x14ac:dyDescent="0.3">
      <c r="A248" s="2">
        <v>45380</v>
      </c>
      <c r="B248" t="s">
        <v>8</v>
      </c>
      <c r="C248" t="s">
        <v>14</v>
      </c>
      <c r="D248" t="s">
        <v>18</v>
      </c>
      <c r="E248">
        <v>2</v>
      </c>
      <c r="F248">
        <v>1189.5999999999999</v>
      </c>
      <c r="G248">
        <v>2379.1999999999998</v>
      </c>
      <c r="H248">
        <v>499.49</v>
      </c>
    </row>
    <row r="249" spans="1:8" x14ac:dyDescent="0.3">
      <c r="A249" s="2">
        <v>45380</v>
      </c>
      <c r="B249" t="s">
        <v>8</v>
      </c>
      <c r="C249" t="s">
        <v>14</v>
      </c>
      <c r="D249" t="s">
        <v>18</v>
      </c>
      <c r="E249">
        <v>3</v>
      </c>
      <c r="F249">
        <v>588.66999999999996</v>
      </c>
      <c r="G249">
        <v>1766.01</v>
      </c>
      <c r="H249">
        <v>321.24</v>
      </c>
    </row>
    <row r="250" spans="1:8" x14ac:dyDescent="0.3">
      <c r="A250" s="2">
        <v>45380</v>
      </c>
      <c r="B250" t="s">
        <v>12</v>
      </c>
      <c r="C250" t="s">
        <v>16</v>
      </c>
      <c r="D250" t="s">
        <v>25</v>
      </c>
      <c r="E250">
        <v>8</v>
      </c>
      <c r="F250">
        <v>2461.64</v>
      </c>
      <c r="G250">
        <v>19693.12</v>
      </c>
      <c r="H250">
        <v>3382.88</v>
      </c>
    </row>
    <row r="251" spans="1:8" x14ac:dyDescent="0.3">
      <c r="A251" s="2">
        <v>45381</v>
      </c>
      <c r="B251" t="s">
        <v>12</v>
      </c>
      <c r="C251" t="s">
        <v>14</v>
      </c>
      <c r="D251" t="s">
        <v>19</v>
      </c>
      <c r="E251">
        <v>1</v>
      </c>
      <c r="F251">
        <v>1086.8900000000001</v>
      </c>
      <c r="G251">
        <v>1086.8900000000001</v>
      </c>
      <c r="H251">
        <v>115.83</v>
      </c>
    </row>
    <row r="252" spans="1:8" x14ac:dyDescent="0.3">
      <c r="A252" s="2">
        <v>45381</v>
      </c>
      <c r="B252" t="s">
        <v>9</v>
      </c>
      <c r="C252" t="s">
        <v>14</v>
      </c>
      <c r="D252" t="s">
        <v>18</v>
      </c>
      <c r="E252">
        <v>5</v>
      </c>
      <c r="F252">
        <v>1530.77</v>
      </c>
      <c r="G252">
        <v>7653.85</v>
      </c>
      <c r="H252">
        <v>1900.97</v>
      </c>
    </row>
    <row r="253" spans="1:8" x14ac:dyDescent="0.3">
      <c r="A253" s="2">
        <v>45382</v>
      </c>
      <c r="B253" t="s">
        <v>13</v>
      </c>
      <c r="C253" t="s">
        <v>15</v>
      </c>
      <c r="D253" t="s">
        <v>22</v>
      </c>
      <c r="E253">
        <v>4</v>
      </c>
      <c r="F253">
        <v>1072.22</v>
      </c>
      <c r="G253">
        <v>4288.88</v>
      </c>
      <c r="H253">
        <v>983.53</v>
      </c>
    </row>
    <row r="254" spans="1:8" x14ac:dyDescent="0.3">
      <c r="A254" s="2">
        <v>45382</v>
      </c>
      <c r="B254" t="s">
        <v>11</v>
      </c>
      <c r="C254" t="s">
        <v>15</v>
      </c>
      <c r="D254" t="s">
        <v>23</v>
      </c>
      <c r="E254">
        <v>2</v>
      </c>
      <c r="F254">
        <v>2098.6799999999998</v>
      </c>
      <c r="G254">
        <v>4197.3599999999997</v>
      </c>
      <c r="H254">
        <v>694.84</v>
      </c>
    </row>
    <row r="255" spans="1:8" x14ac:dyDescent="0.3">
      <c r="A255" s="2">
        <v>45382</v>
      </c>
      <c r="B255" t="s">
        <v>11</v>
      </c>
      <c r="C255" t="s">
        <v>17</v>
      </c>
      <c r="D255" t="s">
        <v>27</v>
      </c>
      <c r="E255">
        <v>6</v>
      </c>
      <c r="F255">
        <v>2447.4499999999998</v>
      </c>
      <c r="G255">
        <v>14684.7</v>
      </c>
      <c r="H255">
        <v>2561.46</v>
      </c>
    </row>
    <row r="256" spans="1:8" x14ac:dyDescent="0.3">
      <c r="A256" s="2">
        <v>45382</v>
      </c>
      <c r="B256" t="s">
        <v>9</v>
      </c>
      <c r="C256" t="s">
        <v>15</v>
      </c>
      <c r="D256" t="s">
        <v>23</v>
      </c>
      <c r="E256">
        <v>2</v>
      </c>
      <c r="F256">
        <v>1954.16</v>
      </c>
      <c r="G256">
        <v>3908.32</v>
      </c>
      <c r="H256">
        <v>437.1</v>
      </c>
    </row>
    <row r="257" spans="1:8" x14ac:dyDescent="0.3">
      <c r="A257" s="2">
        <v>45383</v>
      </c>
      <c r="B257" t="s">
        <v>10</v>
      </c>
      <c r="C257" t="s">
        <v>15</v>
      </c>
      <c r="D257" t="s">
        <v>23</v>
      </c>
      <c r="E257">
        <v>2</v>
      </c>
      <c r="F257">
        <v>660.14</v>
      </c>
      <c r="G257">
        <v>1320.28</v>
      </c>
      <c r="H257">
        <v>262.92</v>
      </c>
    </row>
    <row r="258" spans="1:8" x14ac:dyDescent="0.3">
      <c r="A258" s="2">
        <v>45383</v>
      </c>
      <c r="B258" t="s">
        <v>13</v>
      </c>
      <c r="C258" t="s">
        <v>17</v>
      </c>
      <c r="D258" t="s">
        <v>27</v>
      </c>
      <c r="E258">
        <v>3</v>
      </c>
      <c r="F258">
        <v>1879.53</v>
      </c>
      <c r="G258">
        <v>5638.59</v>
      </c>
      <c r="H258">
        <v>861.19</v>
      </c>
    </row>
    <row r="259" spans="1:8" x14ac:dyDescent="0.3">
      <c r="A259" s="2">
        <v>45384</v>
      </c>
      <c r="B259" t="s">
        <v>10</v>
      </c>
      <c r="C259" t="s">
        <v>17</v>
      </c>
      <c r="D259" t="s">
        <v>27</v>
      </c>
      <c r="E259">
        <v>1</v>
      </c>
      <c r="F259">
        <v>650.08000000000004</v>
      </c>
      <c r="G259">
        <v>650.08000000000004</v>
      </c>
      <c r="H259">
        <v>127.17</v>
      </c>
    </row>
    <row r="260" spans="1:8" x14ac:dyDescent="0.3">
      <c r="A260" s="2">
        <v>45384</v>
      </c>
      <c r="B260" t="s">
        <v>11</v>
      </c>
      <c r="C260" t="s">
        <v>16</v>
      </c>
      <c r="D260" t="s">
        <v>29</v>
      </c>
      <c r="E260">
        <v>3</v>
      </c>
      <c r="F260">
        <v>2197.34</v>
      </c>
      <c r="G260">
        <v>6592.02</v>
      </c>
      <c r="H260">
        <v>1329.7</v>
      </c>
    </row>
    <row r="261" spans="1:8" x14ac:dyDescent="0.3">
      <c r="A261" s="2">
        <v>45384</v>
      </c>
      <c r="B261" t="s">
        <v>10</v>
      </c>
      <c r="C261" t="s">
        <v>14</v>
      </c>
      <c r="D261" t="s">
        <v>20</v>
      </c>
      <c r="E261">
        <v>2</v>
      </c>
      <c r="F261">
        <v>971.99</v>
      </c>
      <c r="G261">
        <v>1943.98</v>
      </c>
      <c r="H261">
        <v>382.53</v>
      </c>
    </row>
    <row r="262" spans="1:8" x14ac:dyDescent="0.3">
      <c r="A262" s="2">
        <v>45385</v>
      </c>
      <c r="B262" t="s">
        <v>13</v>
      </c>
      <c r="C262" t="s">
        <v>14</v>
      </c>
      <c r="D262" t="s">
        <v>20</v>
      </c>
      <c r="E262">
        <v>8</v>
      </c>
      <c r="F262">
        <v>2397.65</v>
      </c>
      <c r="G262">
        <v>19181.2</v>
      </c>
      <c r="H262">
        <v>2988.47</v>
      </c>
    </row>
    <row r="263" spans="1:8" x14ac:dyDescent="0.3">
      <c r="A263" s="2">
        <v>45385</v>
      </c>
      <c r="B263" t="s">
        <v>12</v>
      </c>
      <c r="C263" t="s">
        <v>16</v>
      </c>
      <c r="D263" t="s">
        <v>25</v>
      </c>
      <c r="E263">
        <v>6</v>
      </c>
      <c r="F263">
        <v>1296.07</v>
      </c>
      <c r="G263">
        <v>7776.42</v>
      </c>
      <c r="H263">
        <v>1535.33</v>
      </c>
    </row>
    <row r="264" spans="1:8" x14ac:dyDescent="0.3">
      <c r="A264" s="2">
        <v>45385</v>
      </c>
      <c r="B264" t="s">
        <v>9</v>
      </c>
      <c r="C264" t="s">
        <v>14</v>
      </c>
      <c r="D264" t="s">
        <v>21</v>
      </c>
      <c r="E264">
        <v>3</v>
      </c>
      <c r="F264">
        <v>1498.09</v>
      </c>
      <c r="G264">
        <v>4494.2700000000004</v>
      </c>
      <c r="H264">
        <v>710.31</v>
      </c>
    </row>
    <row r="265" spans="1:8" x14ac:dyDescent="0.3">
      <c r="A265" s="2">
        <v>45385</v>
      </c>
      <c r="B265" t="s">
        <v>9</v>
      </c>
      <c r="C265" t="s">
        <v>14</v>
      </c>
      <c r="D265" t="s">
        <v>18</v>
      </c>
      <c r="E265">
        <v>5</v>
      </c>
      <c r="F265">
        <v>1908.08</v>
      </c>
      <c r="G265">
        <v>9540.4</v>
      </c>
      <c r="H265">
        <v>1261.0999999999999</v>
      </c>
    </row>
    <row r="266" spans="1:8" x14ac:dyDescent="0.3">
      <c r="A266" s="2">
        <v>45386</v>
      </c>
      <c r="B266" t="s">
        <v>12</v>
      </c>
      <c r="C266" t="s">
        <v>17</v>
      </c>
      <c r="D266" t="s">
        <v>28</v>
      </c>
      <c r="E266">
        <v>2</v>
      </c>
      <c r="F266">
        <v>771.46</v>
      </c>
      <c r="G266">
        <v>1542.92</v>
      </c>
      <c r="H266">
        <v>171.43</v>
      </c>
    </row>
    <row r="267" spans="1:8" x14ac:dyDescent="0.3">
      <c r="A267" s="2">
        <v>45386</v>
      </c>
      <c r="B267" t="s">
        <v>9</v>
      </c>
      <c r="C267" t="s">
        <v>17</v>
      </c>
      <c r="D267" t="s">
        <v>28</v>
      </c>
      <c r="E267">
        <v>6</v>
      </c>
      <c r="F267">
        <v>1835.68</v>
      </c>
      <c r="G267">
        <v>11014.08</v>
      </c>
      <c r="H267">
        <v>2273.65</v>
      </c>
    </row>
    <row r="268" spans="1:8" x14ac:dyDescent="0.3">
      <c r="A268" s="2">
        <v>45386</v>
      </c>
      <c r="B268" t="s">
        <v>8</v>
      </c>
      <c r="C268" t="s">
        <v>15</v>
      </c>
      <c r="D268" t="s">
        <v>23</v>
      </c>
      <c r="E268">
        <v>3</v>
      </c>
      <c r="F268">
        <v>1923.62</v>
      </c>
      <c r="G268">
        <v>5770.86</v>
      </c>
      <c r="H268">
        <v>1379.8</v>
      </c>
    </row>
    <row r="269" spans="1:8" x14ac:dyDescent="0.3">
      <c r="A269" s="2">
        <v>45387</v>
      </c>
      <c r="B269" t="s">
        <v>12</v>
      </c>
      <c r="C269" t="s">
        <v>15</v>
      </c>
      <c r="D269" t="s">
        <v>24</v>
      </c>
      <c r="E269">
        <v>2</v>
      </c>
      <c r="F269">
        <v>2470.27</v>
      </c>
      <c r="G269">
        <v>4940.54</v>
      </c>
      <c r="H269">
        <v>1081.04</v>
      </c>
    </row>
    <row r="270" spans="1:8" x14ac:dyDescent="0.3">
      <c r="A270" s="2">
        <v>45387</v>
      </c>
      <c r="B270" t="s">
        <v>9</v>
      </c>
      <c r="C270" t="s">
        <v>17</v>
      </c>
      <c r="D270" t="s">
        <v>28</v>
      </c>
      <c r="E270">
        <v>6</v>
      </c>
      <c r="F270">
        <v>1608.04</v>
      </c>
      <c r="G270">
        <v>9648.24</v>
      </c>
      <c r="H270">
        <v>1498.73</v>
      </c>
    </row>
    <row r="271" spans="1:8" x14ac:dyDescent="0.3">
      <c r="A271" s="2">
        <v>45388</v>
      </c>
      <c r="B271" t="s">
        <v>11</v>
      </c>
      <c r="C271" t="s">
        <v>14</v>
      </c>
      <c r="D271" t="s">
        <v>21</v>
      </c>
      <c r="E271">
        <v>5</v>
      </c>
      <c r="F271">
        <v>1296.32</v>
      </c>
      <c r="G271">
        <v>6481.6</v>
      </c>
      <c r="H271">
        <v>1345.19</v>
      </c>
    </row>
    <row r="272" spans="1:8" x14ac:dyDescent="0.3">
      <c r="A272" s="2">
        <v>45388</v>
      </c>
      <c r="B272" t="s">
        <v>8</v>
      </c>
      <c r="C272" t="s">
        <v>17</v>
      </c>
      <c r="D272" t="s">
        <v>27</v>
      </c>
      <c r="E272">
        <v>10</v>
      </c>
      <c r="F272">
        <v>647.5</v>
      </c>
      <c r="G272">
        <v>6475</v>
      </c>
      <c r="H272">
        <v>1591.92</v>
      </c>
    </row>
    <row r="273" spans="1:8" x14ac:dyDescent="0.3">
      <c r="A273" s="2">
        <v>45389</v>
      </c>
      <c r="B273" t="s">
        <v>9</v>
      </c>
      <c r="C273" t="s">
        <v>17</v>
      </c>
      <c r="D273" t="s">
        <v>27</v>
      </c>
      <c r="E273">
        <v>9</v>
      </c>
      <c r="F273">
        <v>1189.03</v>
      </c>
      <c r="G273">
        <v>10701.27</v>
      </c>
      <c r="H273">
        <v>2479.42</v>
      </c>
    </row>
    <row r="274" spans="1:8" x14ac:dyDescent="0.3">
      <c r="A274" s="2">
        <v>45390</v>
      </c>
      <c r="B274" t="s">
        <v>13</v>
      </c>
      <c r="C274" t="s">
        <v>16</v>
      </c>
      <c r="D274" t="s">
        <v>29</v>
      </c>
      <c r="E274">
        <v>7</v>
      </c>
      <c r="F274">
        <v>1505.73</v>
      </c>
      <c r="G274">
        <v>10540.11</v>
      </c>
      <c r="H274">
        <v>2426.67</v>
      </c>
    </row>
    <row r="275" spans="1:8" x14ac:dyDescent="0.3">
      <c r="A275" s="2">
        <v>45390</v>
      </c>
      <c r="B275" t="s">
        <v>12</v>
      </c>
      <c r="C275" t="s">
        <v>16</v>
      </c>
      <c r="D275" t="s">
        <v>26</v>
      </c>
      <c r="E275">
        <v>3</v>
      </c>
      <c r="F275">
        <v>823.93</v>
      </c>
      <c r="G275">
        <v>2471.79</v>
      </c>
      <c r="H275">
        <v>593.75</v>
      </c>
    </row>
    <row r="276" spans="1:8" x14ac:dyDescent="0.3">
      <c r="A276" s="2">
        <v>45390</v>
      </c>
      <c r="B276" t="s">
        <v>9</v>
      </c>
      <c r="C276" t="s">
        <v>15</v>
      </c>
      <c r="D276" t="s">
        <v>23</v>
      </c>
      <c r="E276">
        <v>2</v>
      </c>
      <c r="F276">
        <v>1001.21</v>
      </c>
      <c r="G276">
        <v>2002.42</v>
      </c>
      <c r="H276">
        <v>390.99</v>
      </c>
    </row>
    <row r="277" spans="1:8" x14ac:dyDescent="0.3">
      <c r="A277" s="2">
        <v>45390</v>
      </c>
      <c r="B277" t="s">
        <v>8</v>
      </c>
      <c r="C277" t="s">
        <v>15</v>
      </c>
      <c r="D277" t="s">
        <v>24</v>
      </c>
      <c r="E277">
        <v>5</v>
      </c>
      <c r="F277">
        <v>1728.86</v>
      </c>
      <c r="G277">
        <v>8644.2999999999993</v>
      </c>
      <c r="H277">
        <v>985.57</v>
      </c>
    </row>
    <row r="278" spans="1:8" x14ac:dyDescent="0.3">
      <c r="A278" s="2">
        <v>45390</v>
      </c>
      <c r="B278" t="s">
        <v>8</v>
      </c>
      <c r="C278" t="s">
        <v>16</v>
      </c>
      <c r="D278" t="s">
        <v>25</v>
      </c>
      <c r="E278">
        <v>10</v>
      </c>
      <c r="F278">
        <v>808.39</v>
      </c>
      <c r="G278">
        <v>8083.9</v>
      </c>
      <c r="H278">
        <v>1607.16</v>
      </c>
    </row>
    <row r="279" spans="1:8" x14ac:dyDescent="0.3">
      <c r="A279" s="2">
        <v>45391</v>
      </c>
      <c r="B279" t="s">
        <v>9</v>
      </c>
      <c r="C279" t="s">
        <v>15</v>
      </c>
      <c r="D279" t="s">
        <v>22</v>
      </c>
      <c r="E279">
        <v>1</v>
      </c>
      <c r="F279">
        <v>662.45</v>
      </c>
      <c r="G279">
        <v>662.45</v>
      </c>
      <c r="H279">
        <v>160.5</v>
      </c>
    </row>
    <row r="280" spans="1:8" x14ac:dyDescent="0.3">
      <c r="A280" s="2">
        <v>45391</v>
      </c>
      <c r="B280" t="s">
        <v>11</v>
      </c>
      <c r="C280" t="s">
        <v>15</v>
      </c>
      <c r="D280" t="s">
        <v>24</v>
      </c>
      <c r="E280">
        <v>10</v>
      </c>
      <c r="F280">
        <v>1333.17</v>
      </c>
      <c r="G280">
        <v>13331.7</v>
      </c>
      <c r="H280">
        <v>2611</v>
      </c>
    </row>
    <row r="281" spans="1:8" x14ac:dyDescent="0.3">
      <c r="A281" s="2">
        <v>45391</v>
      </c>
      <c r="B281" t="s">
        <v>11</v>
      </c>
      <c r="C281" t="s">
        <v>15</v>
      </c>
      <c r="D281" t="s">
        <v>23</v>
      </c>
      <c r="E281">
        <v>8</v>
      </c>
      <c r="F281">
        <v>989.76</v>
      </c>
      <c r="G281">
        <v>7918.08</v>
      </c>
      <c r="H281">
        <v>1750.71</v>
      </c>
    </row>
    <row r="282" spans="1:8" x14ac:dyDescent="0.3">
      <c r="A282" s="2">
        <v>45391</v>
      </c>
      <c r="B282" t="s">
        <v>11</v>
      </c>
      <c r="C282" t="s">
        <v>15</v>
      </c>
      <c r="D282" t="s">
        <v>30</v>
      </c>
      <c r="E282">
        <v>2</v>
      </c>
      <c r="F282">
        <v>1877.23</v>
      </c>
      <c r="G282">
        <v>3754.46</v>
      </c>
      <c r="H282">
        <v>464.47</v>
      </c>
    </row>
    <row r="283" spans="1:8" x14ac:dyDescent="0.3">
      <c r="A283" s="2">
        <v>45391</v>
      </c>
      <c r="B283" t="s">
        <v>8</v>
      </c>
      <c r="C283" t="s">
        <v>17</v>
      </c>
      <c r="D283" t="s">
        <v>27</v>
      </c>
      <c r="E283">
        <v>4</v>
      </c>
      <c r="F283">
        <v>1180.3900000000001</v>
      </c>
      <c r="G283">
        <v>4721.5600000000004</v>
      </c>
      <c r="H283">
        <v>573.91</v>
      </c>
    </row>
    <row r="284" spans="1:8" x14ac:dyDescent="0.3">
      <c r="A284" s="2">
        <v>45392</v>
      </c>
      <c r="B284" t="s">
        <v>13</v>
      </c>
      <c r="C284" t="s">
        <v>15</v>
      </c>
      <c r="D284" t="s">
        <v>30</v>
      </c>
      <c r="E284">
        <v>3</v>
      </c>
      <c r="F284">
        <v>2021.33</v>
      </c>
      <c r="G284">
        <v>6063.99</v>
      </c>
      <c r="H284">
        <v>1074.82</v>
      </c>
    </row>
    <row r="285" spans="1:8" x14ac:dyDescent="0.3">
      <c r="A285" s="2">
        <v>45392</v>
      </c>
      <c r="B285" t="s">
        <v>12</v>
      </c>
      <c r="C285" t="s">
        <v>15</v>
      </c>
      <c r="D285" t="s">
        <v>24</v>
      </c>
      <c r="E285">
        <v>8</v>
      </c>
      <c r="F285">
        <v>745.04</v>
      </c>
      <c r="G285">
        <v>5960.32</v>
      </c>
      <c r="H285">
        <v>997.99</v>
      </c>
    </row>
    <row r="286" spans="1:8" x14ac:dyDescent="0.3">
      <c r="A286" s="2">
        <v>45392</v>
      </c>
      <c r="B286" t="s">
        <v>11</v>
      </c>
      <c r="C286" t="s">
        <v>14</v>
      </c>
      <c r="D286" t="s">
        <v>21</v>
      </c>
      <c r="E286">
        <v>5</v>
      </c>
      <c r="F286">
        <v>2390.77</v>
      </c>
      <c r="G286">
        <v>11953.85</v>
      </c>
      <c r="H286">
        <v>2744.9</v>
      </c>
    </row>
    <row r="287" spans="1:8" x14ac:dyDescent="0.3">
      <c r="A287" s="2">
        <v>45393</v>
      </c>
      <c r="B287" t="s">
        <v>12</v>
      </c>
      <c r="C287" t="s">
        <v>16</v>
      </c>
      <c r="D287" t="s">
        <v>26</v>
      </c>
      <c r="E287">
        <v>10</v>
      </c>
      <c r="F287">
        <v>1942.26</v>
      </c>
      <c r="G287">
        <v>19422.599999999999</v>
      </c>
      <c r="H287">
        <v>2495.3200000000002</v>
      </c>
    </row>
    <row r="288" spans="1:8" x14ac:dyDescent="0.3">
      <c r="A288" s="2">
        <v>45393</v>
      </c>
      <c r="B288" t="s">
        <v>13</v>
      </c>
      <c r="C288" t="s">
        <v>17</v>
      </c>
      <c r="D288" t="s">
        <v>27</v>
      </c>
      <c r="E288">
        <v>8</v>
      </c>
      <c r="F288">
        <v>2258.15</v>
      </c>
      <c r="G288">
        <v>18065.2</v>
      </c>
      <c r="H288">
        <v>3154.28</v>
      </c>
    </row>
    <row r="289" spans="1:8" x14ac:dyDescent="0.3">
      <c r="A289" s="2">
        <v>45394</v>
      </c>
      <c r="B289" t="s">
        <v>10</v>
      </c>
      <c r="C289" t="s">
        <v>17</v>
      </c>
      <c r="D289" t="s">
        <v>28</v>
      </c>
      <c r="E289">
        <v>4</v>
      </c>
      <c r="F289">
        <v>1666.69</v>
      </c>
      <c r="G289">
        <v>6666.76</v>
      </c>
      <c r="H289">
        <v>715.33</v>
      </c>
    </row>
    <row r="290" spans="1:8" x14ac:dyDescent="0.3">
      <c r="A290" s="2">
        <v>45394</v>
      </c>
      <c r="B290" t="s">
        <v>11</v>
      </c>
      <c r="C290" t="s">
        <v>17</v>
      </c>
      <c r="D290" t="s">
        <v>27</v>
      </c>
      <c r="E290">
        <v>5</v>
      </c>
      <c r="F290">
        <v>1573.38</v>
      </c>
      <c r="G290">
        <v>7866.9</v>
      </c>
      <c r="H290">
        <v>1786.38</v>
      </c>
    </row>
    <row r="291" spans="1:8" x14ac:dyDescent="0.3">
      <c r="A291" s="2">
        <v>45394</v>
      </c>
      <c r="B291" t="s">
        <v>11</v>
      </c>
      <c r="C291" t="s">
        <v>16</v>
      </c>
      <c r="D291" t="s">
        <v>26</v>
      </c>
      <c r="E291">
        <v>6</v>
      </c>
      <c r="F291">
        <v>2027.71</v>
      </c>
      <c r="G291">
        <v>12166.26</v>
      </c>
      <c r="H291">
        <v>1884.44</v>
      </c>
    </row>
    <row r="292" spans="1:8" x14ac:dyDescent="0.3">
      <c r="A292" s="2">
        <v>45394</v>
      </c>
      <c r="B292" t="s">
        <v>9</v>
      </c>
      <c r="C292" t="s">
        <v>14</v>
      </c>
      <c r="D292" t="s">
        <v>20</v>
      </c>
      <c r="E292">
        <v>6</v>
      </c>
      <c r="F292">
        <v>1606.45</v>
      </c>
      <c r="G292">
        <v>9638.7000000000007</v>
      </c>
      <c r="H292">
        <v>1070.18</v>
      </c>
    </row>
    <row r="293" spans="1:8" x14ac:dyDescent="0.3">
      <c r="A293" s="2">
        <v>45395</v>
      </c>
      <c r="B293" t="s">
        <v>10</v>
      </c>
      <c r="C293" t="s">
        <v>15</v>
      </c>
      <c r="D293" t="s">
        <v>22</v>
      </c>
      <c r="E293">
        <v>3</v>
      </c>
      <c r="F293">
        <v>2450.17</v>
      </c>
      <c r="G293">
        <v>7350.51</v>
      </c>
      <c r="H293">
        <v>1169.3599999999999</v>
      </c>
    </row>
    <row r="294" spans="1:8" x14ac:dyDescent="0.3">
      <c r="A294" s="2">
        <v>45395</v>
      </c>
      <c r="B294" t="s">
        <v>13</v>
      </c>
      <c r="C294" t="s">
        <v>15</v>
      </c>
      <c r="D294" t="s">
        <v>24</v>
      </c>
      <c r="E294">
        <v>4</v>
      </c>
      <c r="F294">
        <v>1704.93</v>
      </c>
      <c r="G294">
        <v>6819.72</v>
      </c>
      <c r="H294">
        <v>1092.57</v>
      </c>
    </row>
    <row r="295" spans="1:8" x14ac:dyDescent="0.3">
      <c r="A295" s="2">
        <v>45395</v>
      </c>
      <c r="B295" t="s">
        <v>9</v>
      </c>
      <c r="C295" t="s">
        <v>14</v>
      </c>
      <c r="D295" t="s">
        <v>21</v>
      </c>
      <c r="E295">
        <v>3</v>
      </c>
      <c r="F295">
        <v>1927.18</v>
      </c>
      <c r="G295">
        <v>5781.54</v>
      </c>
      <c r="H295">
        <v>1275.3800000000001</v>
      </c>
    </row>
    <row r="296" spans="1:8" x14ac:dyDescent="0.3">
      <c r="A296" s="2">
        <v>45395</v>
      </c>
      <c r="B296" t="s">
        <v>9</v>
      </c>
      <c r="C296" t="s">
        <v>17</v>
      </c>
      <c r="D296" t="s">
        <v>28</v>
      </c>
      <c r="E296">
        <v>10</v>
      </c>
      <c r="F296">
        <v>2286.2600000000002</v>
      </c>
      <c r="G296">
        <v>22862.6</v>
      </c>
      <c r="H296">
        <v>2765.62</v>
      </c>
    </row>
    <row r="297" spans="1:8" x14ac:dyDescent="0.3">
      <c r="A297" s="2">
        <v>45396</v>
      </c>
      <c r="B297" t="s">
        <v>10</v>
      </c>
      <c r="C297" t="s">
        <v>16</v>
      </c>
      <c r="D297" t="s">
        <v>26</v>
      </c>
      <c r="E297">
        <v>10</v>
      </c>
      <c r="F297">
        <v>1978.64</v>
      </c>
      <c r="G297">
        <v>19786.400000000001</v>
      </c>
      <c r="H297">
        <v>2866.76</v>
      </c>
    </row>
    <row r="298" spans="1:8" x14ac:dyDescent="0.3">
      <c r="A298" s="2">
        <v>45396</v>
      </c>
      <c r="B298" t="s">
        <v>8</v>
      </c>
      <c r="C298" t="s">
        <v>17</v>
      </c>
      <c r="D298" t="s">
        <v>27</v>
      </c>
      <c r="E298">
        <v>8</v>
      </c>
      <c r="F298">
        <v>2131.5</v>
      </c>
      <c r="G298">
        <v>17052</v>
      </c>
      <c r="H298">
        <v>2647.39</v>
      </c>
    </row>
    <row r="299" spans="1:8" x14ac:dyDescent="0.3">
      <c r="A299" s="2">
        <v>45396</v>
      </c>
      <c r="B299" t="s">
        <v>8</v>
      </c>
      <c r="C299" t="s">
        <v>14</v>
      </c>
      <c r="D299" t="s">
        <v>19</v>
      </c>
      <c r="E299">
        <v>10</v>
      </c>
      <c r="F299">
        <v>1115.3599999999999</v>
      </c>
      <c r="G299">
        <v>11153.6</v>
      </c>
      <c r="H299">
        <v>2619.0300000000002</v>
      </c>
    </row>
    <row r="300" spans="1:8" x14ac:dyDescent="0.3">
      <c r="A300" s="2">
        <v>45397</v>
      </c>
      <c r="B300" t="s">
        <v>9</v>
      </c>
      <c r="C300" t="s">
        <v>17</v>
      </c>
      <c r="D300" t="s">
        <v>27</v>
      </c>
      <c r="E300">
        <v>10</v>
      </c>
      <c r="F300">
        <v>1655.27</v>
      </c>
      <c r="G300">
        <v>16552.7</v>
      </c>
      <c r="H300">
        <v>3446.44</v>
      </c>
    </row>
    <row r="301" spans="1:8" x14ac:dyDescent="0.3">
      <c r="A301" s="2">
        <v>45398</v>
      </c>
      <c r="B301" t="s">
        <v>8</v>
      </c>
      <c r="C301" t="s">
        <v>16</v>
      </c>
      <c r="D301" t="s">
        <v>25</v>
      </c>
      <c r="E301">
        <v>10</v>
      </c>
      <c r="F301">
        <v>2049.21</v>
      </c>
      <c r="G301">
        <v>20492.099999999999</v>
      </c>
      <c r="H301">
        <v>3217.84</v>
      </c>
    </row>
    <row r="302" spans="1:8" x14ac:dyDescent="0.3">
      <c r="A302" s="2">
        <v>45398</v>
      </c>
      <c r="B302" t="s">
        <v>13</v>
      </c>
      <c r="C302" t="s">
        <v>16</v>
      </c>
      <c r="D302" t="s">
        <v>29</v>
      </c>
      <c r="E302">
        <v>10</v>
      </c>
      <c r="F302">
        <v>2396.41</v>
      </c>
      <c r="G302">
        <v>23964.1</v>
      </c>
      <c r="H302">
        <v>2791.44</v>
      </c>
    </row>
    <row r="303" spans="1:8" x14ac:dyDescent="0.3">
      <c r="A303" s="2">
        <v>45398</v>
      </c>
      <c r="B303" t="s">
        <v>11</v>
      </c>
      <c r="C303" t="s">
        <v>17</v>
      </c>
      <c r="D303" t="s">
        <v>27</v>
      </c>
      <c r="E303">
        <v>7</v>
      </c>
      <c r="F303">
        <v>802.86</v>
      </c>
      <c r="G303">
        <v>5620.02</v>
      </c>
      <c r="H303">
        <v>1144.0999999999999</v>
      </c>
    </row>
    <row r="304" spans="1:8" x14ac:dyDescent="0.3">
      <c r="A304" s="2">
        <v>45398</v>
      </c>
      <c r="B304" t="s">
        <v>8</v>
      </c>
      <c r="C304" t="s">
        <v>17</v>
      </c>
      <c r="D304" t="s">
        <v>28</v>
      </c>
      <c r="E304">
        <v>3</v>
      </c>
      <c r="F304">
        <v>1537.37</v>
      </c>
      <c r="G304">
        <v>4612.1099999999997</v>
      </c>
      <c r="H304">
        <v>849.24</v>
      </c>
    </row>
    <row r="305" spans="1:8" x14ac:dyDescent="0.3">
      <c r="A305" s="2">
        <v>45399</v>
      </c>
      <c r="B305" t="s">
        <v>9</v>
      </c>
      <c r="C305" t="s">
        <v>17</v>
      </c>
      <c r="D305" t="s">
        <v>27</v>
      </c>
      <c r="E305">
        <v>3</v>
      </c>
      <c r="F305">
        <v>1419.33</v>
      </c>
      <c r="G305">
        <v>4257.99</v>
      </c>
      <c r="H305">
        <v>766.31</v>
      </c>
    </row>
    <row r="306" spans="1:8" x14ac:dyDescent="0.3">
      <c r="A306" s="2">
        <v>45399</v>
      </c>
      <c r="B306" t="s">
        <v>10</v>
      </c>
      <c r="C306" t="s">
        <v>15</v>
      </c>
      <c r="D306" t="s">
        <v>23</v>
      </c>
      <c r="E306">
        <v>10</v>
      </c>
      <c r="F306">
        <v>1468.36</v>
      </c>
      <c r="G306">
        <v>14683.6</v>
      </c>
      <c r="H306">
        <v>3576.93</v>
      </c>
    </row>
    <row r="307" spans="1:8" x14ac:dyDescent="0.3">
      <c r="A307" s="2">
        <v>45399</v>
      </c>
      <c r="B307" t="s">
        <v>8</v>
      </c>
      <c r="C307" t="s">
        <v>15</v>
      </c>
      <c r="D307" t="s">
        <v>24</v>
      </c>
      <c r="E307">
        <v>5</v>
      </c>
      <c r="F307">
        <v>2042.35</v>
      </c>
      <c r="G307">
        <v>10211.75</v>
      </c>
      <c r="H307">
        <v>2100.92</v>
      </c>
    </row>
    <row r="308" spans="1:8" x14ac:dyDescent="0.3">
      <c r="A308" s="2">
        <v>45399</v>
      </c>
      <c r="B308" t="s">
        <v>8</v>
      </c>
      <c r="C308" t="s">
        <v>17</v>
      </c>
      <c r="D308" t="s">
        <v>27</v>
      </c>
      <c r="E308">
        <v>8</v>
      </c>
      <c r="F308">
        <v>1197.6099999999999</v>
      </c>
      <c r="G308">
        <v>9580.8799999999992</v>
      </c>
      <c r="H308">
        <v>2299.94</v>
      </c>
    </row>
    <row r="309" spans="1:8" x14ac:dyDescent="0.3">
      <c r="A309" s="2">
        <v>45400</v>
      </c>
      <c r="B309" t="s">
        <v>11</v>
      </c>
      <c r="C309" t="s">
        <v>15</v>
      </c>
      <c r="D309" t="s">
        <v>22</v>
      </c>
      <c r="E309">
        <v>10</v>
      </c>
      <c r="F309">
        <v>1853.24</v>
      </c>
      <c r="G309">
        <v>18532.400000000001</v>
      </c>
      <c r="H309">
        <v>2908.74</v>
      </c>
    </row>
    <row r="310" spans="1:8" x14ac:dyDescent="0.3">
      <c r="A310" s="2">
        <v>45400</v>
      </c>
      <c r="B310" t="s">
        <v>13</v>
      </c>
      <c r="C310" t="s">
        <v>15</v>
      </c>
      <c r="D310" t="s">
        <v>24</v>
      </c>
      <c r="E310">
        <v>5</v>
      </c>
      <c r="F310">
        <v>584.13</v>
      </c>
      <c r="G310">
        <v>2920.65</v>
      </c>
      <c r="H310">
        <v>710.59</v>
      </c>
    </row>
    <row r="311" spans="1:8" x14ac:dyDescent="0.3">
      <c r="A311" s="2">
        <v>45400</v>
      </c>
      <c r="B311" t="s">
        <v>9</v>
      </c>
      <c r="C311" t="s">
        <v>15</v>
      </c>
      <c r="D311" t="s">
        <v>30</v>
      </c>
      <c r="E311">
        <v>5</v>
      </c>
      <c r="F311">
        <v>1994.68</v>
      </c>
      <c r="G311">
        <v>9973.4</v>
      </c>
      <c r="H311">
        <v>1317.47</v>
      </c>
    </row>
    <row r="312" spans="1:8" x14ac:dyDescent="0.3">
      <c r="A312" s="2">
        <v>45401</v>
      </c>
      <c r="B312" t="s">
        <v>12</v>
      </c>
      <c r="C312" t="s">
        <v>15</v>
      </c>
      <c r="D312" t="s">
        <v>24</v>
      </c>
      <c r="E312">
        <v>2</v>
      </c>
      <c r="F312">
        <v>1731.35</v>
      </c>
      <c r="G312">
        <v>3462.7</v>
      </c>
      <c r="H312">
        <v>651.07000000000005</v>
      </c>
    </row>
    <row r="313" spans="1:8" x14ac:dyDescent="0.3">
      <c r="A313" s="2">
        <v>45401</v>
      </c>
      <c r="B313" t="s">
        <v>8</v>
      </c>
      <c r="C313" t="s">
        <v>14</v>
      </c>
      <c r="D313" t="s">
        <v>20</v>
      </c>
      <c r="E313">
        <v>4</v>
      </c>
      <c r="F313">
        <v>604.98</v>
      </c>
      <c r="G313">
        <v>2419.92</v>
      </c>
      <c r="H313">
        <v>392.02</v>
      </c>
    </row>
    <row r="314" spans="1:8" x14ac:dyDescent="0.3">
      <c r="A314" s="2">
        <v>45401</v>
      </c>
      <c r="B314" t="s">
        <v>12</v>
      </c>
      <c r="C314" t="s">
        <v>17</v>
      </c>
      <c r="D314" t="s">
        <v>28</v>
      </c>
      <c r="E314">
        <v>3</v>
      </c>
      <c r="F314">
        <v>510.36</v>
      </c>
      <c r="G314">
        <v>1531.08</v>
      </c>
      <c r="H314">
        <v>279.5</v>
      </c>
    </row>
    <row r="315" spans="1:8" x14ac:dyDescent="0.3">
      <c r="A315" s="2">
        <v>45402</v>
      </c>
      <c r="B315" t="s">
        <v>10</v>
      </c>
      <c r="C315" t="s">
        <v>17</v>
      </c>
      <c r="D315" t="s">
        <v>27</v>
      </c>
      <c r="E315">
        <v>4</v>
      </c>
      <c r="F315">
        <v>2011.82</v>
      </c>
      <c r="G315">
        <v>8047.28</v>
      </c>
      <c r="H315">
        <v>1151.46</v>
      </c>
    </row>
    <row r="316" spans="1:8" x14ac:dyDescent="0.3">
      <c r="A316" s="2">
        <v>45402</v>
      </c>
      <c r="B316" t="s">
        <v>13</v>
      </c>
      <c r="C316" t="s">
        <v>14</v>
      </c>
      <c r="D316" t="s">
        <v>21</v>
      </c>
      <c r="E316">
        <v>10</v>
      </c>
      <c r="F316">
        <v>964.44</v>
      </c>
      <c r="G316">
        <v>9644.4</v>
      </c>
      <c r="H316">
        <v>2033.07</v>
      </c>
    </row>
    <row r="317" spans="1:8" x14ac:dyDescent="0.3">
      <c r="A317" s="2">
        <v>45402</v>
      </c>
      <c r="B317" t="s">
        <v>11</v>
      </c>
      <c r="C317" t="s">
        <v>16</v>
      </c>
      <c r="D317" t="s">
        <v>26</v>
      </c>
      <c r="E317">
        <v>3</v>
      </c>
      <c r="F317">
        <v>2367.85</v>
      </c>
      <c r="G317">
        <v>7103.55</v>
      </c>
      <c r="H317">
        <v>749.08</v>
      </c>
    </row>
    <row r="318" spans="1:8" x14ac:dyDescent="0.3">
      <c r="A318" s="2">
        <v>45402</v>
      </c>
      <c r="B318" t="s">
        <v>9</v>
      </c>
      <c r="C318" t="s">
        <v>17</v>
      </c>
      <c r="D318" t="s">
        <v>28</v>
      </c>
      <c r="E318">
        <v>5</v>
      </c>
      <c r="F318">
        <v>2253.4899999999998</v>
      </c>
      <c r="G318">
        <v>11267.45</v>
      </c>
      <c r="H318">
        <v>1142.4100000000001</v>
      </c>
    </row>
    <row r="319" spans="1:8" x14ac:dyDescent="0.3">
      <c r="A319" s="2">
        <v>45403</v>
      </c>
      <c r="B319" t="s">
        <v>9</v>
      </c>
      <c r="C319" t="s">
        <v>14</v>
      </c>
      <c r="D319" t="s">
        <v>18</v>
      </c>
      <c r="E319">
        <v>5</v>
      </c>
      <c r="F319">
        <v>1408.7</v>
      </c>
      <c r="G319">
        <v>7043.5</v>
      </c>
      <c r="H319">
        <v>1381.91</v>
      </c>
    </row>
    <row r="320" spans="1:8" x14ac:dyDescent="0.3">
      <c r="A320" s="2">
        <v>45403</v>
      </c>
      <c r="B320" t="s">
        <v>13</v>
      </c>
      <c r="C320" t="s">
        <v>17</v>
      </c>
      <c r="D320" t="s">
        <v>28</v>
      </c>
      <c r="E320">
        <v>9</v>
      </c>
      <c r="F320">
        <v>1436.04</v>
      </c>
      <c r="G320">
        <v>12924.36</v>
      </c>
      <c r="H320">
        <v>1666.23</v>
      </c>
    </row>
    <row r="321" spans="1:8" x14ac:dyDescent="0.3">
      <c r="A321" s="2">
        <v>45403</v>
      </c>
      <c r="B321" t="s">
        <v>13</v>
      </c>
      <c r="C321" t="s">
        <v>15</v>
      </c>
      <c r="D321" t="s">
        <v>24</v>
      </c>
      <c r="E321">
        <v>8</v>
      </c>
      <c r="F321">
        <v>1796.57</v>
      </c>
      <c r="G321">
        <v>14372.56</v>
      </c>
      <c r="H321">
        <v>2986.47</v>
      </c>
    </row>
    <row r="322" spans="1:8" x14ac:dyDescent="0.3">
      <c r="A322" s="2">
        <v>45403</v>
      </c>
      <c r="B322" t="s">
        <v>9</v>
      </c>
      <c r="C322" t="s">
        <v>15</v>
      </c>
      <c r="D322" t="s">
        <v>23</v>
      </c>
      <c r="E322">
        <v>10</v>
      </c>
      <c r="F322">
        <v>1848.8</v>
      </c>
      <c r="G322">
        <v>18488</v>
      </c>
      <c r="H322">
        <v>2384.4699999999998</v>
      </c>
    </row>
    <row r="323" spans="1:8" x14ac:dyDescent="0.3">
      <c r="A323" s="2">
        <v>45403</v>
      </c>
      <c r="B323" t="s">
        <v>13</v>
      </c>
      <c r="C323" t="s">
        <v>17</v>
      </c>
      <c r="D323" t="s">
        <v>27</v>
      </c>
      <c r="E323">
        <v>9</v>
      </c>
      <c r="F323">
        <v>1155.8499999999999</v>
      </c>
      <c r="G323">
        <v>10402.65</v>
      </c>
      <c r="H323">
        <v>1665.72</v>
      </c>
    </row>
    <row r="324" spans="1:8" x14ac:dyDescent="0.3">
      <c r="A324" s="2">
        <v>45404</v>
      </c>
      <c r="B324" t="s">
        <v>11</v>
      </c>
      <c r="C324" t="s">
        <v>16</v>
      </c>
      <c r="D324" t="s">
        <v>26</v>
      </c>
      <c r="E324">
        <v>6</v>
      </c>
      <c r="F324">
        <v>2371.65</v>
      </c>
      <c r="G324">
        <v>14229.9</v>
      </c>
      <c r="H324">
        <v>1437.57</v>
      </c>
    </row>
    <row r="325" spans="1:8" x14ac:dyDescent="0.3">
      <c r="A325" s="2">
        <v>45404</v>
      </c>
      <c r="B325" t="s">
        <v>8</v>
      </c>
      <c r="C325" t="s">
        <v>16</v>
      </c>
      <c r="D325" t="s">
        <v>26</v>
      </c>
      <c r="E325">
        <v>5</v>
      </c>
      <c r="F325">
        <v>2408.0700000000002</v>
      </c>
      <c r="G325">
        <v>12040.35</v>
      </c>
      <c r="H325">
        <v>1749.37</v>
      </c>
    </row>
    <row r="326" spans="1:8" x14ac:dyDescent="0.3">
      <c r="A326" s="2">
        <v>45405</v>
      </c>
      <c r="B326" t="s">
        <v>13</v>
      </c>
      <c r="C326" t="s">
        <v>14</v>
      </c>
      <c r="D326" t="s">
        <v>18</v>
      </c>
      <c r="E326">
        <v>6</v>
      </c>
      <c r="F326">
        <v>1885.54</v>
      </c>
      <c r="G326">
        <v>11313.24</v>
      </c>
      <c r="H326">
        <v>1236.75</v>
      </c>
    </row>
    <row r="327" spans="1:8" x14ac:dyDescent="0.3">
      <c r="A327" s="2">
        <v>45405</v>
      </c>
      <c r="B327" t="s">
        <v>8</v>
      </c>
      <c r="C327" t="s">
        <v>17</v>
      </c>
      <c r="D327" t="s">
        <v>27</v>
      </c>
      <c r="E327">
        <v>3</v>
      </c>
      <c r="F327">
        <v>1310.83</v>
      </c>
      <c r="G327">
        <v>3932.49</v>
      </c>
      <c r="H327">
        <v>689.67</v>
      </c>
    </row>
    <row r="328" spans="1:8" x14ac:dyDescent="0.3">
      <c r="A328" s="2">
        <v>45405</v>
      </c>
      <c r="B328" t="s">
        <v>12</v>
      </c>
      <c r="C328" t="s">
        <v>15</v>
      </c>
      <c r="D328" t="s">
        <v>22</v>
      </c>
      <c r="E328">
        <v>5</v>
      </c>
      <c r="F328">
        <v>1235.0899999999999</v>
      </c>
      <c r="G328">
        <v>6175.45</v>
      </c>
      <c r="H328">
        <v>822.12</v>
      </c>
    </row>
    <row r="329" spans="1:8" x14ac:dyDescent="0.3">
      <c r="A329" s="2">
        <v>45405</v>
      </c>
      <c r="B329" t="s">
        <v>11</v>
      </c>
      <c r="C329" t="s">
        <v>17</v>
      </c>
      <c r="D329" t="s">
        <v>28</v>
      </c>
      <c r="E329">
        <v>8</v>
      </c>
      <c r="F329">
        <v>1995.47</v>
      </c>
      <c r="G329">
        <v>15963.76</v>
      </c>
      <c r="H329">
        <v>3046.86</v>
      </c>
    </row>
    <row r="330" spans="1:8" x14ac:dyDescent="0.3">
      <c r="A330" s="2">
        <v>45405</v>
      </c>
      <c r="B330" t="s">
        <v>13</v>
      </c>
      <c r="C330" t="s">
        <v>17</v>
      </c>
      <c r="D330" t="s">
        <v>28</v>
      </c>
      <c r="E330">
        <v>4</v>
      </c>
      <c r="F330">
        <v>1860.68</v>
      </c>
      <c r="G330">
        <v>7442.72</v>
      </c>
      <c r="H330">
        <v>1409.44</v>
      </c>
    </row>
    <row r="331" spans="1:8" x14ac:dyDescent="0.3">
      <c r="A331" s="2">
        <v>45406</v>
      </c>
      <c r="B331" t="s">
        <v>9</v>
      </c>
      <c r="C331" t="s">
        <v>17</v>
      </c>
      <c r="D331" t="s">
        <v>27</v>
      </c>
      <c r="E331">
        <v>2</v>
      </c>
      <c r="F331">
        <v>2334.4899999999998</v>
      </c>
      <c r="G331">
        <v>4668.9799999999996</v>
      </c>
      <c r="H331">
        <v>545.48</v>
      </c>
    </row>
    <row r="332" spans="1:8" x14ac:dyDescent="0.3">
      <c r="A332" s="2">
        <v>45406</v>
      </c>
      <c r="B332" t="s">
        <v>9</v>
      </c>
      <c r="C332" t="s">
        <v>16</v>
      </c>
      <c r="D332" t="s">
        <v>25</v>
      </c>
      <c r="E332">
        <v>9</v>
      </c>
      <c r="F332">
        <v>799.7</v>
      </c>
      <c r="G332">
        <v>7197.3</v>
      </c>
      <c r="H332">
        <v>1073.96</v>
      </c>
    </row>
    <row r="333" spans="1:8" x14ac:dyDescent="0.3">
      <c r="A333" s="2">
        <v>45406</v>
      </c>
      <c r="B333" t="s">
        <v>9</v>
      </c>
      <c r="C333" t="s">
        <v>17</v>
      </c>
      <c r="D333" t="s">
        <v>28</v>
      </c>
      <c r="E333">
        <v>4</v>
      </c>
      <c r="F333">
        <v>1933.84</v>
      </c>
      <c r="G333">
        <v>7735.36</v>
      </c>
      <c r="H333">
        <v>1340.73</v>
      </c>
    </row>
    <row r="334" spans="1:8" x14ac:dyDescent="0.3">
      <c r="A334" s="2">
        <v>45406</v>
      </c>
      <c r="B334" t="s">
        <v>9</v>
      </c>
      <c r="C334" t="s">
        <v>17</v>
      </c>
      <c r="D334" t="s">
        <v>28</v>
      </c>
      <c r="E334">
        <v>8</v>
      </c>
      <c r="F334">
        <v>763.89</v>
      </c>
      <c r="G334">
        <v>6111.12</v>
      </c>
      <c r="H334">
        <v>991.92</v>
      </c>
    </row>
    <row r="335" spans="1:8" x14ac:dyDescent="0.3">
      <c r="A335" s="2">
        <v>45406</v>
      </c>
      <c r="B335" t="s">
        <v>13</v>
      </c>
      <c r="C335" t="s">
        <v>14</v>
      </c>
      <c r="D335" t="s">
        <v>19</v>
      </c>
      <c r="E335">
        <v>5</v>
      </c>
      <c r="F335">
        <v>1946.56</v>
      </c>
      <c r="G335">
        <v>9732.7999999999993</v>
      </c>
      <c r="H335">
        <v>1551.33</v>
      </c>
    </row>
    <row r="336" spans="1:8" x14ac:dyDescent="0.3">
      <c r="A336" s="2">
        <v>45407</v>
      </c>
      <c r="B336" t="s">
        <v>13</v>
      </c>
      <c r="C336" t="s">
        <v>14</v>
      </c>
      <c r="D336" t="s">
        <v>21</v>
      </c>
      <c r="E336">
        <v>7</v>
      </c>
      <c r="F336">
        <v>1189.06</v>
      </c>
      <c r="G336">
        <v>8323.42</v>
      </c>
      <c r="H336">
        <v>911.95</v>
      </c>
    </row>
    <row r="337" spans="1:8" x14ac:dyDescent="0.3">
      <c r="A337" s="2">
        <v>45407</v>
      </c>
      <c r="B337" t="s">
        <v>12</v>
      </c>
      <c r="C337" t="s">
        <v>14</v>
      </c>
      <c r="D337" t="s">
        <v>19</v>
      </c>
      <c r="E337">
        <v>1</v>
      </c>
      <c r="F337">
        <v>1074.18</v>
      </c>
      <c r="G337">
        <v>1074.18</v>
      </c>
      <c r="H337">
        <v>136.41999999999999</v>
      </c>
    </row>
    <row r="338" spans="1:8" x14ac:dyDescent="0.3">
      <c r="A338" s="2">
        <v>45408</v>
      </c>
      <c r="B338" t="s">
        <v>11</v>
      </c>
      <c r="C338" t="s">
        <v>15</v>
      </c>
      <c r="D338" t="s">
        <v>30</v>
      </c>
      <c r="E338">
        <v>8</v>
      </c>
      <c r="F338">
        <v>2239.2399999999998</v>
      </c>
      <c r="G338">
        <v>17913.919999999998</v>
      </c>
      <c r="H338">
        <v>4227.96</v>
      </c>
    </row>
    <row r="339" spans="1:8" x14ac:dyDescent="0.3">
      <c r="A339" s="2">
        <v>45408</v>
      </c>
      <c r="B339" t="s">
        <v>11</v>
      </c>
      <c r="C339" t="s">
        <v>14</v>
      </c>
      <c r="D339" t="s">
        <v>20</v>
      </c>
      <c r="E339">
        <v>6</v>
      </c>
      <c r="F339">
        <v>737.27</v>
      </c>
      <c r="G339">
        <v>4423.62</v>
      </c>
      <c r="H339">
        <v>1101.1600000000001</v>
      </c>
    </row>
    <row r="340" spans="1:8" x14ac:dyDescent="0.3">
      <c r="A340" s="2">
        <v>45408</v>
      </c>
      <c r="B340" t="s">
        <v>10</v>
      </c>
      <c r="C340" t="s">
        <v>16</v>
      </c>
      <c r="D340" t="s">
        <v>25</v>
      </c>
      <c r="E340">
        <v>4</v>
      </c>
      <c r="F340">
        <v>2169.64</v>
      </c>
      <c r="G340">
        <v>8678.56</v>
      </c>
      <c r="H340">
        <v>1852.24</v>
      </c>
    </row>
    <row r="341" spans="1:8" x14ac:dyDescent="0.3">
      <c r="A341" s="2">
        <v>45408</v>
      </c>
      <c r="B341" t="s">
        <v>11</v>
      </c>
      <c r="C341" t="s">
        <v>17</v>
      </c>
      <c r="D341" t="s">
        <v>27</v>
      </c>
      <c r="E341">
        <v>9</v>
      </c>
      <c r="F341">
        <v>1258.55</v>
      </c>
      <c r="G341">
        <v>11326.95</v>
      </c>
      <c r="H341">
        <v>1522.9</v>
      </c>
    </row>
    <row r="342" spans="1:8" x14ac:dyDescent="0.3">
      <c r="A342" s="2">
        <v>45409</v>
      </c>
      <c r="B342" t="s">
        <v>13</v>
      </c>
      <c r="C342" t="s">
        <v>16</v>
      </c>
      <c r="D342" t="s">
        <v>26</v>
      </c>
      <c r="E342">
        <v>4</v>
      </c>
      <c r="F342">
        <v>2374.8200000000002</v>
      </c>
      <c r="G342">
        <v>9499.2800000000007</v>
      </c>
      <c r="H342">
        <v>1983.01</v>
      </c>
    </row>
    <row r="343" spans="1:8" x14ac:dyDescent="0.3">
      <c r="A343" s="2">
        <v>45409</v>
      </c>
      <c r="B343" t="s">
        <v>13</v>
      </c>
      <c r="C343" t="s">
        <v>14</v>
      </c>
      <c r="D343" t="s">
        <v>19</v>
      </c>
      <c r="E343">
        <v>10</v>
      </c>
      <c r="F343">
        <v>2032.11</v>
      </c>
      <c r="G343">
        <v>20321.099999999999</v>
      </c>
      <c r="H343">
        <v>4725.95</v>
      </c>
    </row>
    <row r="344" spans="1:8" x14ac:dyDescent="0.3">
      <c r="A344" s="2">
        <v>45409</v>
      </c>
      <c r="B344" t="s">
        <v>9</v>
      </c>
      <c r="C344" t="s">
        <v>16</v>
      </c>
      <c r="D344" t="s">
        <v>29</v>
      </c>
      <c r="E344">
        <v>2</v>
      </c>
      <c r="F344">
        <v>701.79</v>
      </c>
      <c r="G344">
        <v>1403.58</v>
      </c>
      <c r="H344">
        <v>147.43</v>
      </c>
    </row>
    <row r="345" spans="1:8" x14ac:dyDescent="0.3">
      <c r="A345" s="2">
        <v>45410</v>
      </c>
      <c r="B345" t="s">
        <v>12</v>
      </c>
      <c r="C345" t="s">
        <v>16</v>
      </c>
      <c r="D345" t="s">
        <v>25</v>
      </c>
      <c r="E345">
        <v>1</v>
      </c>
      <c r="F345">
        <v>1304.53</v>
      </c>
      <c r="G345">
        <v>1304.53</v>
      </c>
      <c r="H345">
        <v>176.31</v>
      </c>
    </row>
    <row r="346" spans="1:8" x14ac:dyDescent="0.3">
      <c r="A346" s="2">
        <v>45411</v>
      </c>
      <c r="B346" t="s">
        <v>9</v>
      </c>
      <c r="C346" t="s">
        <v>16</v>
      </c>
      <c r="D346" t="s">
        <v>25</v>
      </c>
      <c r="E346">
        <v>5</v>
      </c>
      <c r="F346">
        <v>968.32</v>
      </c>
      <c r="G346">
        <v>4841.6000000000004</v>
      </c>
      <c r="H346">
        <v>1149.68</v>
      </c>
    </row>
    <row r="347" spans="1:8" x14ac:dyDescent="0.3">
      <c r="A347" s="2">
        <v>45412</v>
      </c>
      <c r="B347" t="s">
        <v>9</v>
      </c>
      <c r="C347" t="s">
        <v>15</v>
      </c>
      <c r="D347" t="s">
        <v>24</v>
      </c>
      <c r="E347">
        <v>5</v>
      </c>
      <c r="F347">
        <v>2252.52</v>
      </c>
      <c r="G347">
        <v>11262.6</v>
      </c>
      <c r="H347">
        <v>2791.48</v>
      </c>
    </row>
    <row r="348" spans="1:8" x14ac:dyDescent="0.3">
      <c r="A348" s="2">
        <v>45412</v>
      </c>
      <c r="B348" t="s">
        <v>9</v>
      </c>
      <c r="C348" t="s">
        <v>16</v>
      </c>
      <c r="D348" t="s">
        <v>26</v>
      </c>
      <c r="E348">
        <v>5</v>
      </c>
      <c r="F348">
        <v>1050.31</v>
      </c>
      <c r="G348">
        <v>5251.55</v>
      </c>
      <c r="H348">
        <v>963.7</v>
      </c>
    </row>
    <row r="349" spans="1:8" x14ac:dyDescent="0.3">
      <c r="A349" s="2">
        <v>45412</v>
      </c>
      <c r="B349" t="s">
        <v>10</v>
      </c>
      <c r="C349" t="s">
        <v>16</v>
      </c>
      <c r="D349" t="s">
        <v>25</v>
      </c>
      <c r="E349">
        <v>7</v>
      </c>
      <c r="F349">
        <v>1611.7</v>
      </c>
      <c r="G349">
        <v>11281.9</v>
      </c>
      <c r="H349">
        <v>1207.53</v>
      </c>
    </row>
    <row r="350" spans="1:8" x14ac:dyDescent="0.3">
      <c r="A350" s="2">
        <v>45413</v>
      </c>
      <c r="B350" t="s">
        <v>9</v>
      </c>
      <c r="C350" t="s">
        <v>15</v>
      </c>
      <c r="D350" t="s">
        <v>30</v>
      </c>
      <c r="E350">
        <v>7</v>
      </c>
      <c r="F350">
        <v>798.44</v>
      </c>
      <c r="G350">
        <v>5589.08</v>
      </c>
      <c r="H350">
        <v>874.52</v>
      </c>
    </row>
    <row r="351" spans="1:8" x14ac:dyDescent="0.3">
      <c r="A351" s="2">
        <v>45413</v>
      </c>
      <c r="B351" t="s">
        <v>11</v>
      </c>
      <c r="C351" t="s">
        <v>17</v>
      </c>
      <c r="D351" t="s">
        <v>28</v>
      </c>
      <c r="E351">
        <v>4</v>
      </c>
      <c r="F351">
        <v>1101.47</v>
      </c>
      <c r="G351">
        <v>4405.88</v>
      </c>
      <c r="H351">
        <v>908.21</v>
      </c>
    </row>
    <row r="352" spans="1:8" x14ac:dyDescent="0.3">
      <c r="A352" s="2">
        <v>45413</v>
      </c>
      <c r="B352" t="s">
        <v>12</v>
      </c>
      <c r="C352" t="s">
        <v>14</v>
      </c>
      <c r="D352" t="s">
        <v>19</v>
      </c>
      <c r="E352">
        <v>7</v>
      </c>
      <c r="F352">
        <v>1614.57</v>
      </c>
      <c r="G352">
        <v>11301.99</v>
      </c>
      <c r="H352">
        <v>1357.53</v>
      </c>
    </row>
    <row r="353" spans="1:8" x14ac:dyDescent="0.3">
      <c r="A353" s="2">
        <v>45413</v>
      </c>
      <c r="B353" t="s">
        <v>10</v>
      </c>
      <c r="C353" t="s">
        <v>15</v>
      </c>
      <c r="D353" t="s">
        <v>24</v>
      </c>
      <c r="E353">
        <v>6</v>
      </c>
      <c r="F353">
        <v>1793.41</v>
      </c>
      <c r="G353">
        <v>10760.46</v>
      </c>
      <c r="H353">
        <v>2564.58</v>
      </c>
    </row>
    <row r="354" spans="1:8" x14ac:dyDescent="0.3">
      <c r="A354" s="2">
        <v>45414</v>
      </c>
      <c r="B354" t="s">
        <v>13</v>
      </c>
      <c r="C354" t="s">
        <v>16</v>
      </c>
      <c r="D354" t="s">
        <v>29</v>
      </c>
      <c r="E354">
        <v>5</v>
      </c>
      <c r="F354">
        <v>1254.3399999999999</v>
      </c>
      <c r="G354">
        <v>6271.7</v>
      </c>
      <c r="H354">
        <v>1196.3</v>
      </c>
    </row>
    <row r="355" spans="1:8" x14ac:dyDescent="0.3">
      <c r="A355" s="2">
        <v>45415</v>
      </c>
      <c r="B355" t="s">
        <v>10</v>
      </c>
      <c r="C355" t="s">
        <v>16</v>
      </c>
      <c r="D355" t="s">
        <v>25</v>
      </c>
      <c r="E355">
        <v>9</v>
      </c>
      <c r="F355">
        <v>934.03</v>
      </c>
      <c r="G355">
        <v>8406.27</v>
      </c>
      <c r="H355">
        <v>1104.02</v>
      </c>
    </row>
    <row r="356" spans="1:8" x14ac:dyDescent="0.3">
      <c r="A356" s="2">
        <v>45416</v>
      </c>
      <c r="B356" t="s">
        <v>11</v>
      </c>
      <c r="C356" t="s">
        <v>14</v>
      </c>
      <c r="D356" t="s">
        <v>20</v>
      </c>
      <c r="E356">
        <v>4</v>
      </c>
      <c r="F356">
        <v>2424.16</v>
      </c>
      <c r="G356">
        <v>9696.64</v>
      </c>
      <c r="H356">
        <v>1140.3</v>
      </c>
    </row>
    <row r="357" spans="1:8" x14ac:dyDescent="0.3">
      <c r="A357" s="2">
        <v>45416</v>
      </c>
      <c r="B357" t="s">
        <v>12</v>
      </c>
      <c r="C357" t="s">
        <v>16</v>
      </c>
      <c r="D357" t="s">
        <v>25</v>
      </c>
      <c r="E357">
        <v>10</v>
      </c>
      <c r="F357">
        <v>1907.54</v>
      </c>
      <c r="G357">
        <v>19075.400000000001</v>
      </c>
      <c r="H357">
        <v>3042.43</v>
      </c>
    </row>
    <row r="358" spans="1:8" x14ac:dyDescent="0.3">
      <c r="A358" s="2">
        <v>45416</v>
      </c>
      <c r="B358" t="s">
        <v>10</v>
      </c>
      <c r="C358" t="s">
        <v>15</v>
      </c>
      <c r="D358" t="s">
        <v>23</v>
      </c>
      <c r="E358">
        <v>7</v>
      </c>
      <c r="F358">
        <v>1432.5</v>
      </c>
      <c r="G358">
        <v>10027.5</v>
      </c>
      <c r="H358">
        <v>1978.51</v>
      </c>
    </row>
    <row r="359" spans="1:8" x14ac:dyDescent="0.3">
      <c r="A359" s="2">
        <v>45417</v>
      </c>
      <c r="B359" t="s">
        <v>11</v>
      </c>
      <c r="C359" t="s">
        <v>15</v>
      </c>
      <c r="D359" t="s">
        <v>30</v>
      </c>
      <c r="E359">
        <v>8</v>
      </c>
      <c r="F359">
        <v>697.22</v>
      </c>
      <c r="G359">
        <v>5577.76</v>
      </c>
      <c r="H359">
        <v>1378.81</v>
      </c>
    </row>
    <row r="360" spans="1:8" x14ac:dyDescent="0.3">
      <c r="A360" s="2">
        <v>45417</v>
      </c>
      <c r="B360" t="s">
        <v>12</v>
      </c>
      <c r="C360" t="s">
        <v>15</v>
      </c>
      <c r="D360" t="s">
        <v>24</v>
      </c>
      <c r="E360">
        <v>6</v>
      </c>
      <c r="F360">
        <v>1125.8399999999999</v>
      </c>
      <c r="G360">
        <v>6755.04</v>
      </c>
      <c r="H360">
        <v>721.83</v>
      </c>
    </row>
    <row r="361" spans="1:8" x14ac:dyDescent="0.3">
      <c r="A361" s="2">
        <v>45417</v>
      </c>
      <c r="B361" t="s">
        <v>8</v>
      </c>
      <c r="C361" t="s">
        <v>16</v>
      </c>
      <c r="D361" t="s">
        <v>29</v>
      </c>
      <c r="E361">
        <v>5</v>
      </c>
      <c r="F361">
        <v>1606.62</v>
      </c>
      <c r="G361">
        <v>8033.1</v>
      </c>
      <c r="H361">
        <v>1507.05</v>
      </c>
    </row>
    <row r="362" spans="1:8" x14ac:dyDescent="0.3">
      <c r="A362" s="2">
        <v>45418</v>
      </c>
      <c r="B362" t="s">
        <v>12</v>
      </c>
      <c r="C362" t="s">
        <v>15</v>
      </c>
      <c r="D362" t="s">
        <v>24</v>
      </c>
      <c r="E362">
        <v>4</v>
      </c>
      <c r="F362">
        <v>1159.73</v>
      </c>
      <c r="G362">
        <v>4638.92</v>
      </c>
      <c r="H362">
        <v>728.2</v>
      </c>
    </row>
    <row r="363" spans="1:8" x14ac:dyDescent="0.3">
      <c r="A363" s="2">
        <v>45418</v>
      </c>
      <c r="B363" t="s">
        <v>8</v>
      </c>
      <c r="C363" t="s">
        <v>17</v>
      </c>
      <c r="D363" t="s">
        <v>27</v>
      </c>
      <c r="E363">
        <v>5</v>
      </c>
      <c r="F363">
        <v>2026.72</v>
      </c>
      <c r="G363">
        <v>10133.6</v>
      </c>
      <c r="H363">
        <v>1756.08</v>
      </c>
    </row>
    <row r="364" spans="1:8" x14ac:dyDescent="0.3">
      <c r="A364" s="2">
        <v>45418</v>
      </c>
      <c r="B364" t="s">
        <v>12</v>
      </c>
      <c r="C364" t="s">
        <v>17</v>
      </c>
      <c r="D364" t="s">
        <v>27</v>
      </c>
      <c r="E364">
        <v>3</v>
      </c>
      <c r="F364">
        <v>1965.54</v>
      </c>
      <c r="G364">
        <v>5896.62</v>
      </c>
      <c r="H364">
        <v>901.16</v>
      </c>
    </row>
    <row r="365" spans="1:8" x14ac:dyDescent="0.3">
      <c r="A365" s="2">
        <v>45418</v>
      </c>
      <c r="B365" t="s">
        <v>9</v>
      </c>
      <c r="C365" t="s">
        <v>17</v>
      </c>
      <c r="D365" t="s">
        <v>28</v>
      </c>
      <c r="E365">
        <v>9</v>
      </c>
      <c r="F365">
        <v>2480.65</v>
      </c>
      <c r="G365">
        <v>22325.85</v>
      </c>
      <c r="H365">
        <v>5438.25</v>
      </c>
    </row>
    <row r="366" spans="1:8" x14ac:dyDescent="0.3">
      <c r="A366" s="2">
        <v>45419</v>
      </c>
      <c r="B366" t="s">
        <v>12</v>
      </c>
      <c r="C366" t="s">
        <v>14</v>
      </c>
      <c r="D366" t="s">
        <v>21</v>
      </c>
      <c r="E366">
        <v>1</v>
      </c>
      <c r="F366">
        <v>1324.78</v>
      </c>
      <c r="G366">
        <v>1324.78</v>
      </c>
      <c r="H366">
        <v>299.91000000000003</v>
      </c>
    </row>
    <row r="367" spans="1:8" x14ac:dyDescent="0.3">
      <c r="A367" s="2">
        <v>45420</v>
      </c>
      <c r="B367" t="s">
        <v>9</v>
      </c>
      <c r="C367" t="s">
        <v>16</v>
      </c>
      <c r="D367" t="s">
        <v>29</v>
      </c>
      <c r="E367">
        <v>4</v>
      </c>
      <c r="F367">
        <v>1511.47</v>
      </c>
      <c r="G367">
        <v>6045.88</v>
      </c>
      <c r="H367">
        <v>943.04</v>
      </c>
    </row>
    <row r="368" spans="1:8" x14ac:dyDescent="0.3">
      <c r="A368" s="2">
        <v>45421</v>
      </c>
      <c r="B368" t="s">
        <v>13</v>
      </c>
      <c r="C368" t="s">
        <v>17</v>
      </c>
      <c r="D368" t="s">
        <v>27</v>
      </c>
      <c r="E368">
        <v>1</v>
      </c>
      <c r="F368">
        <v>513.22</v>
      </c>
      <c r="G368">
        <v>513.22</v>
      </c>
      <c r="H368">
        <v>93.79</v>
      </c>
    </row>
    <row r="369" spans="1:8" x14ac:dyDescent="0.3">
      <c r="A369" s="2">
        <v>45421</v>
      </c>
      <c r="B369" t="s">
        <v>8</v>
      </c>
      <c r="C369" t="s">
        <v>14</v>
      </c>
      <c r="D369" t="s">
        <v>18</v>
      </c>
      <c r="E369">
        <v>9</v>
      </c>
      <c r="F369">
        <v>2454.96</v>
      </c>
      <c r="G369">
        <v>22094.639999999999</v>
      </c>
      <c r="H369">
        <v>2266.2800000000002</v>
      </c>
    </row>
    <row r="370" spans="1:8" x14ac:dyDescent="0.3">
      <c r="A370" s="2">
        <v>45421</v>
      </c>
      <c r="B370" t="s">
        <v>12</v>
      </c>
      <c r="C370" t="s">
        <v>17</v>
      </c>
      <c r="D370" t="s">
        <v>28</v>
      </c>
      <c r="E370">
        <v>2</v>
      </c>
      <c r="F370">
        <v>2336.1</v>
      </c>
      <c r="G370">
        <v>4672.2</v>
      </c>
      <c r="H370">
        <v>834.73</v>
      </c>
    </row>
    <row r="371" spans="1:8" x14ac:dyDescent="0.3">
      <c r="A371" s="2">
        <v>45421</v>
      </c>
      <c r="B371" t="s">
        <v>11</v>
      </c>
      <c r="C371" t="s">
        <v>16</v>
      </c>
      <c r="D371" t="s">
        <v>25</v>
      </c>
      <c r="E371">
        <v>9</v>
      </c>
      <c r="F371">
        <v>1004.84</v>
      </c>
      <c r="G371">
        <v>9043.56</v>
      </c>
      <c r="H371">
        <v>1385.17</v>
      </c>
    </row>
    <row r="372" spans="1:8" x14ac:dyDescent="0.3">
      <c r="A372" s="2">
        <v>45421</v>
      </c>
      <c r="B372" t="s">
        <v>8</v>
      </c>
      <c r="C372" t="s">
        <v>14</v>
      </c>
      <c r="D372" t="s">
        <v>18</v>
      </c>
      <c r="E372">
        <v>7</v>
      </c>
      <c r="F372">
        <v>1418</v>
      </c>
      <c r="G372">
        <v>9926</v>
      </c>
      <c r="H372">
        <v>1354.71</v>
      </c>
    </row>
    <row r="373" spans="1:8" x14ac:dyDescent="0.3">
      <c r="A373" s="2">
        <v>45422</v>
      </c>
      <c r="B373" t="s">
        <v>9</v>
      </c>
      <c r="C373" t="s">
        <v>15</v>
      </c>
      <c r="D373" t="s">
        <v>22</v>
      </c>
      <c r="E373">
        <v>1</v>
      </c>
      <c r="F373">
        <v>687</v>
      </c>
      <c r="G373">
        <v>687</v>
      </c>
      <c r="H373">
        <v>107.78</v>
      </c>
    </row>
    <row r="374" spans="1:8" x14ac:dyDescent="0.3">
      <c r="A374" s="2">
        <v>45422</v>
      </c>
      <c r="B374" t="s">
        <v>11</v>
      </c>
      <c r="C374" t="s">
        <v>17</v>
      </c>
      <c r="D374" t="s">
        <v>28</v>
      </c>
      <c r="E374">
        <v>1</v>
      </c>
      <c r="F374">
        <v>1905.69</v>
      </c>
      <c r="G374">
        <v>1905.69</v>
      </c>
      <c r="H374">
        <v>214.21</v>
      </c>
    </row>
    <row r="375" spans="1:8" x14ac:dyDescent="0.3">
      <c r="A375" s="2">
        <v>45423</v>
      </c>
      <c r="B375" t="s">
        <v>9</v>
      </c>
      <c r="C375" t="s">
        <v>14</v>
      </c>
      <c r="D375" t="s">
        <v>21</v>
      </c>
      <c r="E375">
        <v>4</v>
      </c>
      <c r="F375">
        <v>922.83</v>
      </c>
      <c r="G375">
        <v>3691.32</v>
      </c>
      <c r="H375">
        <v>849.81</v>
      </c>
    </row>
    <row r="376" spans="1:8" x14ac:dyDescent="0.3">
      <c r="A376" s="2">
        <v>45423</v>
      </c>
      <c r="B376" t="s">
        <v>10</v>
      </c>
      <c r="C376" t="s">
        <v>17</v>
      </c>
      <c r="D376" t="s">
        <v>27</v>
      </c>
      <c r="E376">
        <v>1</v>
      </c>
      <c r="F376">
        <v>2348.3200000000002</v>
      </c>
      <c r="G376">
        <v>2348.3200000000002</v>
      </c>
      <c r="H376">
        <v>475.92</v>
      </c>
    </row>
    <row r="377" spans="1:8" x14ac:dyDescent="0.3">
      <c r="A377" s="2">
        <v>45423</v>
      </c>
      <c r="B377" t="s">
        <v>12</v>
      </c>
      <c r="C377" t="s">
        <v>14</v>
      </c>
      <c r="D377" t="s">
        <v>20</v>
      </c>
      <c r="E377">
        <v>6</v>
      </c>
      <c r="F377">
        <v>531.32000000000005</v>
      </c>
      <c r="G377">
        <v>3187.92</v>
      </c>
      <c r="H377">
        <v>417.85</v>
      </c>
    </row>
    <row r="378" spans="1:8" x14ac:dyDescent="0.3">
      <c r="A378" s="2">
        <v>45424</v>
      </c>
      <c r="B378" t="s">
        <v>11</v>
      </c>
      <c r="C378" t="s">
        <v>14</v>
      </c>
      <c r="D378" t="s">
        <v>18</v>
      </c>
      <c r="E378">
        <v>3</v>
      </c>
      <c r="F378">
        <v>1627.92</v>
      </c>
      <c r="G378">
        <v>4883.76</v>
      </c>
      <c r="H378">
        <v>903.52</v>
      </c>
    </row>
    <row r="379" spans="1:8" x14ac:dyDescent="0.3">
      <c r="A379" s="2">
        <v>45424</v>
      </c>
      <c r="B379" t="s">
        <v>13</v>
      </c>
      <c r="C379" t="s">
        <v>15</v>
      </c>
      <c r="D379" t="s">
        <v>30</v>
      </c>
      <c r="E379">
        <v>3</v>
      </c>
      <c r="F379">
        <v>2081</v>
      </c>
      <c r="G379">
        <v>6243</v>
      </c>
      <c r="H379">
        <v>1269.8</v>
      </c>
    </row>
    <row r="380" spans="1:8" x14ac:dyDescent="0.3">
      <c r="A380" s="2">
        <v>45424</v>
      </c>
      <c r="B380" t="s">
        <v>10</v>
      </c>
      <c r="C380" t="s">
        <v>15</v>
      </c>
      <c r="D380" t="s">
        <v>22</v>
      </c>
      <c r="E380">
        <v>2</v>
      </c>
      <c r="F380">
        <v>1374.18</v>
      </c>
      <c r="G380">
        <v>2748.36</v>
      </c>
      <c r="H380">
        <v>620.58000000000004</v>
      </c>
    </row>
    <row r="381" spans="1:8" x14ac:dyDescent="0.3">
      <c r="A381" s="2">
        <v>45424</v>
      </c>
      <c r="B381" t="s">
        <v>11</v>
      </c>
      <c r="C381" t="s">
        <v>17</v>
      </c>
      <c r="D381" t="s">
        <v>27</v>
      </c>
      <c r="E381">
        <v>1</v>
      </c>
      <c r="F381">
        <v>1768.25</v>
      </c>
      <c r="G381">
        <v>1768.25</v>
      </c>
      <c r="H381">
        <v>384.65</v>
      </c>
    </row>
    <row r="382" spans="1:8" x14ac:dyDescent="0.3">
      <c r="A382" s="2">
        <v>45425</v>
      </c>
      <c r="B382" t="s">
        <v>8</v>
      </c>
      <c r="C382" t="s">
        <v>16</v>
      </c>
      <c r="D382" t="s">
        <v>26</v>
      </c>
      <c r="E382">
        <v>9</v>
      </c>
      <c r="F382">
        <v>2382.29</v>
      </c>
      <c r="G382">
        <v>21440.61</v>
      </c>
      <c r="H382">
        <v>3532.92</v>
      </c>
    </row>
    <row r="383" spans="1:8" x14ac:dyDescent="0.3">
      <c r="A383" s="2">
        <v>45425</v>
      </c>
      <c r="B383" t="s">
        <v>13</v>
      </c>
      <c r="C383" t="s">
        <v>17</v>
      </c>
      <c r="D383" t="s">
        <v>28</v>
      </c>
      <c r="E383">
        <v>10</v>
      </c>
      <c r="F383">
        <v>1090.76</v>
      </c>
      <c r="G383">
        <v>10907.6</v>
      </c>
      <c r="H383">
        <v>1493.99</v>
      </c>
    </row>
    <row r="384" spans="1:8" x14ac:dyDescent="0.3">
      <c r="A384" s="2">
        <v>45425</v>
      </c>
      <c r="B384" t="s">
        <v>12</v>
      </c>
      <c r="C384" t="s">
        <v>14</v>
      </c>
      <c r="D384" t="s">
        <v>18</v>
      </c>
      <c r="E384">
        <v>3</v>
      </c>
      <c r="F384">
        <v>1260</v>
      </c>
      <c r="G384">
        <v>3780</v>
      </c>
      <c r="H384">
        <v>822.47</v>
      </c>
    </row>
    <row r="385" spans="1:8" x14ac:dyDescent="0.3">
      <c r="A385" s="2">
        <v>45425</v>
      </c>
      <c r="B385" t="s">
        <v>10</v>
      </c>
      <c r="C385" t="s">
        <v>17</v>
      </c>
      <c r="D385" t="s">
        <v>27</v>
      </c>
      <c r="E385">
        <v>6</v>
      </c>
      <c r="F385">
        <v>713.1</v>
      </c>
      <c r="G385">
        <v>4278.6000000000004</v>
      </c>
      <c r="H385">
        <v>431.19</v>
      </c>
    </row>
    <row r="386" spans="1:8" x14ac:dyDescent="0.3">
      <c r="A386" s="2">
        <v>45426</v>
      </c>
      <c r="B386" t="s">
        <v>11</v>
      </c>
      <c r="C386" t="s">
        <v>15</v>
      </c>
      <c r="D386" t="s">
        <v>23</v>
      </c>
      <c r="E386">
        <v>2</v>
      </c>
      <c r="F386">
        <v>765.01</v>
      </c>
      <c r="G386">
        <v>1530.02</v>
      </c>
      <c r="H386">
        <v>196.01</v>
      </c>
    </row>
    <row r="387" spans="1:8" x14ac:dyDescent="0.3">
      <c r="A387" s="2">
        <v>45426</v>
      </c>
      <c r="B387" t="s">
        <v>9</v>
      </c>
      <c r="C387" t="s">
        <v>17</v>
      </c>
      <c r="D387" t="s">
        <v>28</v>
      </c>
      <c r="E387">
        <v>1</v>
      </c>
      <c r="F387">
        <v>679.24</v>
      </c>
      <c r="G387">
        <v>679.24</v>
      </c>
      <c r="H387">
        <v>124.39</v>
      </c>
    </row>
    <row r="388" spans="1:8" x14ac:dyDescent="0.3">
      <c r="A388" s="2">
        <v>45426</v>
      </c>
      <c r="B388" t="s">
        <v>13</v>
      </c>
      <c r="C388" t="s">
        <v>15</v>
      </c>
      <c r="D388" t="s">
        <v>30</v>
      </c>
      <c r="E388">
        <v>1</v>
      </c>
      <c r="F388">
        <v>1083.69</v>
      </c>
      <c r="G388">
        <v>1083.69</v>
      </c>
      <c r="H388">
        <v>171.41</v>
      </c>
    </row>
    <row r="389" spans="1:8" x14ac:dyDescent="0.3">
      <c r="A389" s="2">
        <v>45426</v>
      </c>
      <c r="B389" t="s">
        <v>12</v>
      </c>
      <c r="C389" t="s">
        <v>16</v>
      </c>
      <c r="D389" t="s">
        <v>25</v>
      </c>
      <c r="E389">
        <v>9</v>
      </c>
      <c r="F389">
        <v>839.17</v>
      </c>
      <c r="G389">
        <v>7552.53</v>
      </c>
      <c r="H389">
        <v>1186.58</v>
      </c>
    </row>
    <row r="390" spans="1:8" x14ac:dyDescent="0.3">
      <c r="A390" s="2">
        <v>45427</v>
      </c>
      <c r="B390" t="s">
        <v>10</v>
      </c>
      <c r="C390" t="s">
        <v>15</v>
      </c>
      <c r="D390" t="s">
        <v>23</v>
      </c>
      <c r="E390">
        <v>8</v>
      </c>
      <c r="F390">
        <v>791.87</v>
      </c>
      <c r="G390">
        <v>6334.96</v>
      </c>
      <c r="H390">
        <v>792.38</v>
      </c>
    </row>
    <row r="391" spans="1:8" x14ac:dyDescent="0.3">
      <c r="A391" s="2">
        <v>45427</v>
      </c>
      <c r="B391" t="s">
        <v>12</v>
      </c>
      <c r="C391" t="s">
        <v>17</v>
      </c>
      <c r="D391" t="s">
        <v>27</v>
      </c>
      <c r="E391">
        <v>8</v>
      </c>
      <c r="F391">
        <v>2065.33</v>
      </c>
      <c r="G391">
        <v>16522.64</v>
      </c>
      <c r="H391">
        <v>2547.27</v>
      </c>
    </row>
    <row r="392" spans="1:8" x14ac:dyDescent="0.3">
      <c r="A392" s="2">
        <v>45427</v>
      </c>
      <c r="B392" t="s">
        <v>11</v>
      </c>
      <c r="C392" t="s">
        <v>17</v>
      </c>
      <c r="D392" t="s">
        <v>28</v>
      </c>
      <c r="E392">
        <v>8</v>
      </c>
      <c r="F392">
        <v>713.94</v>
      </c>
      <c r="G392">
        <v>5711.52</v>
      </c>
      <c r="H392">
        <v>832.16</v>
      </c>
    </row>
    <row r="393" spans="1:8" x14ac:dyDescent="0.3">
      <c r="A393" s="2">
        <v>45428</v>
      </c>
      <c r="B393" t="s">
        <v>8</v>
      </c>
      <c r="C393" t="s">
        <v>17</v>
      </c>
      <c r="D393" t="s">
        <v>27</v>
      </c>
      <c r="E393">
        <v>8</v>
      </c>
      <c r="F393">
        <v>1169.47</v>
      </c>
      <c r="G393">
        <v>9355.76</v>
      </c>
      <c r="H393">
        <v>2079.98</v>
      </c>
    </row>
    <row r="394" spans="1:8" x14ac:dyDescent="0.3">
      <c r="A394" s="2">
        <v>45428</v>
      </c>
      <c r="B394" t="s">
        <v>11</v>
      </c>
      <c r="C394" t="s">
        <v>16</v>
      </c>
      <c r="D394" t="s">
        <v>26</v>
      </c>
      <c r="E394">
        <v>6</v>
      </c>
      <c r="F394">
        <v>1706.42</v>
      </c>
      <c r="G394">
        <v>10238.52</v>
      </c>
      <c r="H394">
        <v>2091.67</v>
      </c>
    </row>
    <row r="395" spans="1:8" x14ac:dyDescent="0.3">
      <c r="A395" s="2">
        <v>45428</v>
      </c>
      <c r="B395" t="s">
        <v>8</v>
      </c>
      <c r="C395" t="s">
        <v>15</v>
      </c>
      <c r="D395" t="s">
        <v>24</v>
      </c>
      <c r="E395">
        <v>7</v>
      </c>
      <c r="F395">
        <v>2437.4499999999998</v>
      </c>
      <c r="G395">
        <v>17062.150000000001</v>
      </c>
      <c r="H395">
        <v>2452.12</v>
      </c>
    </row>
    <row r="396" spans="1:8" x14ac:dyDescent="0.3">
      <c r="A396" s="2">
        <v>45429</v>
      </c>
      <c r="B396" t="s">
        <v>10</v>
      </c>
      <c r="C396" t="s">
        <v>16</v>
      </c>
      <c r="D396" t="s">
        <v>26</v>
      </c>
      <c r="E396">
        <v>7</v>
      </c>
      <c r="F396">
        <v>1060.5999999999999</v>
      </c>
      <c r="G396">
        <v>7424.2</v>
      </c>
      <c r="H396">
        <v>1617.58</v>
      </c>
    </row>
    <row r="397" spans="1:8" x14ac:dyDescent="0.3">
      <c r="A397" s="2">
        <v>45429</v>
      </c>
      <c r="B397" t="s">
        <v>9</v>
      </c>
      <c r="C397" t="s">
        <v>14</v>
      </c>
      <c r="D397" t="s">
        <v>20</v>
      </c>
      <c r="E397">
        <v>10</v>
      </c>
      <c r="F397">
        <v>2494.5300000000002</v>
      </c>
      <c r="G397">
        <v>24945.3</v>
      </c>
      <c r="H397">
        <v>3167.78</v>
      </c>
    </row>
    <row r="398" spans="1:8" x14ac:dyDescent="0.3">
      <c r="A398" s="2">
        <v>45429</v>
      </c>
      <c r="B398" t="s">
        <v>8</v>
      </c>
      <c r="C398" t="s">
        <v>14</v>
      </c>
      <c r="D398" t="s">
        <v>19</v>
      </c>
      <c r="E398">
        <v>4</v>
      </c>
      <c r="F398">
        <v>1376.91</v>
      </c>
      <c r="G398">
        <v>5507.64</v>
      </c>
      <c r="H398">
        <v>791.45</v>
      </c>
    </row>
    <row r="399" spans="1:8" x14ac:dyDescent="0.3">
      <c r="A399" s="2">
        <v>45429</v>
      </c>
      <c r="B399" t="s">
        <v>10</v>
      </c>
      <c r="C399" t="s">
        <v>14</v>
      </c>
      <c r="D399" t="s">
        <v>19</v>
      </c>
      <c r="E399">
        <v>8</v>
      </c>
      <c r="F399">
        <v>778.36</v>
      </c>
      <c r="G399">
        <v>6226.88</v>
      </c>
      <c r="H399">
        <v>905.54</v>
      </c>
    </row>
    <row r="400" spans="1:8" x14ac:dyDescent="0.3">
      <c r="A400" s="2">
        <v>45430</v>
      </c>
      <c r="B400" t="s">
        <v>9</v>
      </c>
      <c r="C400" t="s">
        <v>17</v>
      </c>
      <c r="D400" t="s">
        <v>27</v>
      </c>
      <c r="E400">
        <v>2</v>
      </c>
      <c r="F400">
        <v>1398.13</v>
      </c>
      <c r="G400">
        <v>2796.26</v>
      </c>
      <c r="H400">
        <v>530.41999999999996</v>
      </c>
    </row>
    <row r="401" spans="1:8" x14ac:dyDescent="0.3">
      <c r="A401" s="2">
        <v>45430</v>
      </c>
      <c r="B401" t="s">
        <v>8</v>
      </c>
      <c r="C401" t="s">
        <v>17</v>
      </c>
      <c r="D401" t="s">
        <v>27</v>
      </c>
      <c r="E401">
        <v>9</v>
      </c>
      <c r="F401">
        <v>573.53</v>
      </c>
      <c r="G401">
        <v>5161.7700000000004</v>
      </c>
      <c r="H401">
        <v>1266</v>
      </c>
    </row>
    <row r="402" spans="1:8" x14ac:dyDescent="0.3">
      <c r="A402" s="2">
        <v>45431</v>
      </c>
      <c r="B402" t="s">
        <v>8</v>
      </c>
      <c r="C402" t="s">
        <v>14</v>
      </c>
      <c r="D402" t="s">
        <v>21</v>
      </c>
      <c r="E402">
        <v>4</v>
      </c>
      <c r="F402">
        <v>1815.2</v>
      </c>
      <c r="G402">
        <v>7260.8</v>
      </c>
      <c r="H402">
        <v>1112.73</v>
      </c>
    </row>
    <row r="403" spans="1:8" x14ac:dyDescent="0.3">
      <c r="A403" s="2">
        <v>45431</v>
      </c>
      <c r="B403" t="s">
        <v>13</v>
      </c>
      <c r="C403" t="s">
        <v>14</v>
      </c>
      <c r="D403" t="s">
        <v>19</v>
      </c>
      <c r="E403">
        <v>6</v>
      </c>
      <c r="F403">
        <v>2431.4299999999998</v>
      </c>
      <c r="G403">
        <v>14588.58</v>
      </c>
      <c r="H403">
        <v>2400.8200000000002</v>
      </c>
    </row>
    <row r="404" spans="1:8" x14ac:dyDescent="0.3">
      <c r="A404" s="2">
        <v>45431</v>
      </c>
      <c r="B404" t="s">
        <v>9</v>
      </c>
      <c r="C404" t="s">
        <v>14</v>
      </c>
      <c r="D404" t="s">
        <v>18</v>
      </c>
      <c r="E404">
        <v>4</v>
      </c>
      <c r="F404">
        <v>1521.35</v>
      </c>
      <c r="G404">
        <v>6085.4</v>
      </c>
      <c r="H404">
        <v>1082.0999999999999</v>
      </c>
    </row>
    <row r="405" spans="1:8" x14ac:dyDescent="0.3">
      <c r="A405" s="2">
        <v>45431</v>
      </c>
      <c r="B405" t="s">
        <v>9</v>
      </c>
      <c r="C405" t="s">
        <v>16</v>
      </c>
      <c r="D405" t="s">
        <v>26</v>
      </c>
      <c r="E405">
        <v>6</v>
      </c>
      <c r="F405">
        <v>1282.27</v>
      </c>
      <c r="G405">
        <v>7693.62</v>
      </c>
      <c r="H405">
        <v>1660.68</v>
      </c>
    </row>
    <row r="406" spans="1:8" x14ac:dyDescent="0.3">
      <c r="A406" s="2">
        <v>45431</v>
      </c>
      <c r="B406" t="s">
        <v>13</v>
      </c>
      <c r="C406" t="s">
        <v>16</v>
      </c>
      <c r="D406" t="s">
        <v>26</v>
      </c>
      <c r="E406">
        <v>1</v>
      </c>
      <c r="F406">
        <v>1465.54</v>
      </c>
      <c r="G406">
        <v>1465.54</v>
      </c>
      <c r="H406">
        <v>211.5</v>
      </c>
    </row>
    <row r="407" spans="1:8" x14ac:dyDescent="0.3">
      <c r="A407" s="2">
        <v>45432</v>
      </c>
      <c r="B407" t="s">
        <v>9</v>
      </c>
      <c r="C407" t="s">
        <v>16</v>
      </c>
      <c r="D407" t="s">
        <v>26</v>
      </c>
      <c r="E407">
        <v>5</v>
      </c>
      <c r="F407">
        <v>1186.1300000000001</v>
      </c>
      <c r="G407">
        <v>5930.65</v>
      </c>
      <c r="H407">
        <v>1290.75</v>
      </c>
    </row>
    <row r="408" spans="1:8" x14ac:dyDescent="0.3">
      <c r="A408" s="2">
        <v>45433</v>
      </c>
      <c r="B408" t="s">
        <v>10</v>
      </c>
      <c r="C408" t="s">
        <v>15</v>
      </c>
      <c r="D408" t="s">
        <v>30</v>
      </c>
      <c r="E408">
        <v>2</v>
      </c>
      <c r="F408">
        <v>1376.33</v>
      </c>
      <c r="G408">
        <v>2752.66</v>
      </c>
      <c r="H408">
        <v>562.96</v>
      </c>
    </row>
    <row r="409" spans="1:8" x14ac:dyDescent="0.3">
      <c r="A409" s="2">
        <v>45433</v>
      </c>
      <c r="B409" t="s">
        <v>10</v>
      </c>
      <c r="C409" t="s">
        <v>14</v>
      </c>
      <c r="D409" t="s">
        <v>18</v>
      </c>
      <c r="E409">
        <v>1</v>
      </c>
      <c r="F409">
        <v>2120.37</v>
      </c>
      <c r="G409">
        <v>2120.37</v>
      </c>
      <c r="H409">
        <v>248.64</v>
      </c>
    </row>
    <row r="410" spans="1:8" x14ac:dyDescent="0.3">
      <c r="A410" s="2">
        <v>45433</v>
      </c>
      <c r="B410" t="s">
        <v>10</v>
      </c>
      <c r="C410" t="s">
        <v>14</v>
      </c>
      <c r="D410" t="s">
        <v>20</v>
      </c>
      <c r="E410">
        <v>4</v>
      </c>
      <c r="F410">
        <v>1531.99</v>
      </c>
      <c r="G410">
        <v>6127.96</v>
      </c>
      <c r="H410">
        <v>1120.1099999999999</v>
      </c>
    </row>
    <row r="411" spans="1:8" x14ac:dyDescent="0.3">
      <c r="A411" s="2">
        <v>45433</v>
      </c>
      <c r="B411" t="s">
        <v>12</v>
      </c>
      <c r="C411" t="s">
        <v>17</v>
      </c>
      <c r="D411" t="s">
        <v>27</v>
      </c>
      <c r="E411">
        <v>4</v>
      </c>
      <c r="F411">
        <v>2095.5100000000002</v>
      </c>
      <c r="G411">
        <v>8382.0400000000009</v>
      </c>
      <c r="H411">
        <v>1630.01</v>
      </c>
    </row>
    <row r="412" spans="1:8" x14ac:dyDescent="0.3">
      <c r="A412" s="2">
        <v>45434</v>
      </c>
      <c r="B412" t="s">
        <v>11</v>
      </c>
      <c r="C412" t="s">
        <v>17</v>
      </c>
      <c r="D412" t="s">
        <v>28</v>
      </c>
      <c r="E412">
        <v>10</v>
      </c>
      <c r="F412">
        <v>2266.19</v>
      </c>
      <c r="G412">
        <v>22661.9</v>
      </c>
      <c r="H412">
        <v>3794.42</v>
      </c>
    </row>
    <row r="413" spans="1:8" x14ac:dyDescent="0.3">
      <c r="A413" s="2">
        <v>45434</v>
      </c>
      <c r="B413" t="s">
        <v>13</v>
      </c>
      <c r="C413" t="s">
        <v>17</v>
      </c>
      <c r="D413" t="s">
        <v>28</v>
      </c>
      <c r="E413">
        <v>4</v>
      </c>
      <c r="F413">
        <v>911.57</v>
      </c>
      <c r="G413">
        <v>3646.28</v>
      </c>
      <c r="H413">
        <v>776.11</v>
      </c>
    </row>
    <row r="414" spans="1:8" x14ac:dyDescent="0.3">
      <c r="A414" s="2">
        <v>45434</v>
      </c>
      <c r="B414" t="s">
        <v>10</v>
      </c>
      <c r="C414" t="s">
        <v>14</v>
      </c>
      <c r="D414" t="s">
        <v>20</v>
      </c>
      <c r="E414">
        <v>6</v>
      </c>
      <c r="F414">
        <v>1151.97</v>
      </c>
      <c r="G414">
        <v>6911.82</v>
      </c>
      <c r="H414">
        <v>1165.56</v>
      </c>
    </row>
    <row r="415" spans="1:8" x14ac:dyDescent="0.3">
      <c r="A415" s="2">
        <v>45434</v>
      </c>
      <c r="B415" t="s">
        <v>13</v>
      </c>
      <c r="C415" t="s">
        <v>17</v>
      </c>
      <c r="D415" t="s">
        <v>27</v>
      </c>
      <c r="E415">
        <v>10</v>
      </c>
      <c r="F415">
        <v>1277.28</v>
      </c>
      <c r="G415">
        <v>12772.8</v>
      </c>
      <c r="H415">
        <v>2029.36</v>
      </c>
    </row>
    <row r="416" spans="1:8" x14ac:dyDescent="0.3">
      <c r="A416" s="2">
        <v>45435</v>
      </c>
      <c r="B416" t="s">
        <v>10</v>
      </c>
      <c r="C416" t="s">
        <v>15</v>
      </c>
      <c r="D416" t="s">
        <v>30</v>
      </c>
      <c r="E416">
        <v>10</v>
      </c>
      <c r="F416">
        <v>845.06</v>
      </c>
      <c r="G416">
        <v>8450.6</v>
      </c>
      <c r="H416">
        <v>1698.89</v>
      </c>
    </row>
    <row r="417" spans="1:8" x14ac:dyDescent="0.3">
      <c r="A417" s="2">
        <v>45435</v>
      </c>
      <c r="B417" t="s">
        <v>12</v>
      </c>
      <c r="C417" t="s">
        <v>14</v>
      </c>
      <c r="D417" t="s">
        <v>20</v>
      </c>
      <c r="E417">
        <v>6</v>
      </c>
      <c r="F417">
        <v>735.72</v>
      </c>
      <c r="G417">
        <v>4414.32</v>
      </c>
      <c r="H417">
        <v>643.64</v>
      </c>
    </row>
    <row r="418" spans="1:8" x14ac:dyDescent="0.3">
      <c r="A418" s="2">
        <v>45435</v>
      </c>
      <c r="B418" t="s">
        <v>9</v>
      </c>
      <c r="C418" t="s">
        <v>15</v>
      </c>
      <c r="D418" t="s">
        <v>24</v>
      </c>
      <c r="E418">
        <v>9</v>
      </c>
      <c r="F418">
        <v>1276.93</v>
      </c>
      <c r="G418">
        <v>11492.37</v>
      </c>
      <c r="H418">
        <v>2177.39</v>
      </c>
    </row>
    <row r="419" spans="1:8" x14ac:dyDescent="0.3">
      <c r="A419" s="2">
        <v>45436</v>
      </c>
      <c r="B419" t="s">
        <v>8</v>
      </c>
      <c r="C419" t="s">
        <v>17</v>
      </c>
      <c r="D419" t="s">
        <v>28</v>
      </c>
      <c r="E419">
        <v>8</v>
      </c>
      <c r="F419">
        <v>1771</v>
      </c>
      <c r="G419">
        <v>14168</v>
      </c>
      <c r="H419">
        <v>2890.48</v>
      </c>
    </row>
    <row r="420" spans="1:8" x14ac:dyDescent="0.3">
      <c r="A420" s="2">
        <v>45436</v>
      </c>
      <c r="B420" t="s">
        <v>10</v>
      </c>
      <c r="C420" t="s">
        <v>16</v>
      </c>
      <c r="D420" t="s">
        <v>25</v>
      </c>
      <c r="E420">
        <v>3</v>
      </c>
      <c r="F420">
        <v>1479.28</v>
      </c>
      <c r="G420">
        <v>4437.84</v>
      </c>
      <c r="H420">
        <v>537.17999999999995</v>
      </c>
    </row>
    <row r="421" spans="1:8" x14ac:dyDescent="0.3">
      <c r="A421" s="2">
        <v>45436</v>
      </c>
      <c r="B421" t="s">
        <v>12</v>
      </c>
      <c r="C421" t="s">
        <v>17</v>
      </c>
      <c r="D421" t="s">
        <v>28</v>
      </c>
      <c r="E421">
        <v>6</v>
      </c>
      <c r="F421">
        <v>2403.6799999999998</v>
      </c>
      <c r="G421">
        <v>14422.08</v>
      </c>
      <c r="H421">
        <v>2490.5700000000002</v>
      </c>
    </row>
    <row r="422" spans="1:8" x14ac:dyDescent="0.3">
      <c r="A422" s="2">
        <v>45436</v>
      </c>
      <c r="B422" t="s">
        <v>11</v>
      </c>
      <c r="C422" t="s">
        <v>17</v>
      </c>
      <c r="D422" t="s">
        <v>27</v>
      </c>
      <c r="E422">
        <v>7</v>
      </c>
      <c r="F422">
        <v>1869.39</v>
      </c>
      <c r="G422">
        <v>13085.73</v>
      </c>
      <c r="H422">
        <v>2124.4</v>
      </c>
    </row>
    <row r="423" spans="1:8" x14ac:dyDescent="0.3">
      <c r="A423" s="2">
        <v>45437</v>
      </c>
      <c r="B423" t="s">
        <v>10</v>
      </c>
      <c r="C423" t="s">
        <v>16</v>
      </c>
      <c r="D423" t="s">
        <v>29</v>
      </c>
      <c r="E423">
        <v>10</v>
      </c>
      <c r="F423">
        <v>561.72</v>
      </c>
      <c r="G423">
        <v>5617.2</v>
      </c>
      <c r="H423">
        <v>1202.97</v>
      </c>
    </row>
    <row r="424" spans="1:8" x14ac:dyDescent="0.3">
      <c r="A424" s="2">
        <v>45437</v>
      </c>
      <c r="B424" t="s">
        <v>11</v>
      </c>
      <c r="C424" t="s">
        <v>14</v>
      </c>
      <c r="D424" t="s">
        <v>18</v>
      </c>
      <c r="E424">
        <v>4</v>
      </c>
      <c r="F424">
        <v>1575.22</v>
      </c>
      <c r="G424">
        <v>6300.88</v>
      </c>
      <c r="H424">
        <v>789.07</v>
      </c>
    </row>
    <row r="425" spans="1:8" x14ac:dyDescent="0.3">
      <c r="A425" s="2">
        <v>45437</v>
      </c>
      <c r="B425" t="s">
        <v>10</v>
      </c>
      <c r="C425" t="s">
        <v>17</v>
      </c>
      <c r="D425" t="s">
        <v>28</v>
      </c>
      <c r="E425">
        <v>10</v>
      </c>
      <c r="F425">
        <v>728.41</v>
      </c>
      <c r="G425">
        <v>7284.1</v>
      </c>
      <c r="H425">
        <v>1575.31</v>
      </c>
    </row>
    <row r="426" spans="1:8" x14ac:dyDescent="0.3">
      <c r="A426" s="2">
        <v>45437</v>
      </c>
      <c r="B426" t="s">
        <v>8</v>
      </c>
      <c r="C426" t="s">
        <v>14</v>
      </c>
      <c r="D426" t="s">
        <v>19</v>
      </c>
      <c r="E426">
        <v>9</v>
      </c>
      <c r="F426">
        <v>937.08</v>
      </c>
      <c r="G426">
        <v>8433.7199999999993</v>
      </c>
      <c r="H426">
        <v>1381.22</v>
      </c>
    </row>
    <row r="427" spans="1:8" x14ac:dyDescent="0.3">
      <c r="A427" s="2">
        <v>45438</v>
      </c>
      <c r="B427" t="s">
        <v>13</v>
      </c>
      <c r="C427" t="s">
        <v>15</v>
      </c>
      <c r="D427" t="s">
        <v>22</v>
      </c>
      <c r="E427">
        <v>8</v>
      </c>
      <c r="F427">
        <v>1025.6300000000001</v>
      </c>
      <c r="G427">
        <v>8205.0400000000009</v>
      </c>
      <c r="H427">
        <v>1881.66</v>
      </c>
    </row>
    <row r="428" spans="1:8" x14ac:dyDescent="0.3">
      <c r="A428" s="2">
        <v>45438</v>
      </c>
      <c r="B428" t="s">
        <v>8</v>
      </c>
      <c r="C428" t="s">
        <v>17</v>
      </c>
      <c r="D428" t="s">
        <v>28</v>
      </c>
      <c r="E428">
        <v>4</v>
      </c>
      <c r="F428">
        <v>919.76</v>
      </c>
      <c r="G428">
        <v>3679.04</v>
      </c>
      <c r="H428">
        <v>774.96</v>
      </c>
    </row>
    <row r="429" spans="1:8" x14ac:dyDescent="0.3">
      <c r="A429" s="2">
        <v>45439</v>
      </c>
      <c r="B429" t="s">
        <v>12</v>
      </c>
      <c r="C429" t="s">
        <v>17</v>
      </c>
      <c r="D429" t="s">
        <v>28</v>
      </c>
      <c r="E429">
        <v>10</v>
      </c>
      <c r="F429">
        <v>778.47</v>
      </c>
      <c r="G429">
        <v>7784.7</v>
      </c>
      <c r="H429">
        <v>1019.74</v>
      </c>
    </row>
    <row r="430" spans="1:8" x14ac:dyDescent="0.3">
      <c r="A430" s="2">
        <v>45439</v>
      </c>
      <c r="B430" t="s">
        <v>10</v>
      </c>
      <c r="C430" t="s">
        <v>14</v>
      </c>
      <c r="D430" t="s">
        <v>18</v>
      </c>
      <c r="E430">
        <v>9</v>
      </c>
      <c r="F430">
        <v>1062.17</v>
      </c>
      <c r="G430">
        <v>9559.5300000000007</v>
      </c>
      <c r="H430">
        <v>1728.51</v>
      </c>
    </row>
    <row r="431" spans="1:8" x14ac:dyDescent="0.3">
      <c r="A431" s="2">
        <v>45439</v>
      </c>
      <c r="B431" t="s">
        <v>8</v>
      </c>
      <c r="C431" t="s">
        <v>15</v>
      </c>
      <c r="D431" t="s">
        <v>23</v>
      </c>
      <c r="E431">
        <v>10</v>
      </c>
      <c r="F431">
        <v>1034.69</v>
      </c>
      <c r="G431">
        <v>10346.9</v>
      </c>
      <c r="H431">
        <v>2366.36</v>
      </c>
    </row>
    <row r="432" spans="1:8" x14ac:dyDescent="0.3">
      <c r="A432" s="2">
        <v>45440</v>
      </c>
      <c r="B432" t="s">
        <v>12</v>
      </c>
      <c r="C432" t="s">
        <v>16</v>
      </c>
      <c r="D432" t="s">
        <v>26</v>
      </c>
      <c r="E432">
        <v>1</v>
      </c>
      <c r="F432">
        <v>2484.9699999999998</v>
      </c>
      <c r="G432">
        <v>2484.9699999999998</v>
      </c>
      <c r="H432">
        <v>571.69000000000005</v>
      </c>
    </row>
    <row r="433" spans="1:8" x14ac:dyDescent="0.3">
      <c r="A433" s="2">
        <v>45441</v>
      </c>
      <c r="B433" t="s">
        <v>8</v>
      </c>
      <c r="C433" t="s">
        <v>16</v>
      </c>
      <c r="D433" t="s">
        <v>29</v>
      </c>
      <c r="E433">
        <v>6</v>
      </c>
      <c r="F433">
        <v>2156.96</v>
      </c>
      <c r="G433">
        <v>12941.76</v>
      </c>
      <c r="H433">
        <v>2772.4</v>
      </c>
    </row>
    <row r="434" spans="1:8" x14ac:dyDescent="0.3">
      <c r="A434" s="2">
        <v>45441</v>
      </c>
      <c r="B434" t="s">
        <v>11</v>
      </c>
      <c r="C434" t="s">
        <v>17</v>
      </c>
      <c r="D434" t="s">
        <v>27</v>
      </c>
      <c r="E434">
        <v>3</v>
      </c>
      <c r="F434">
        <v>1654.85</v>
      </c>
      <c r="G434">
        <v>4964.55</v>
      </c>
      <c r="H434">
        <v>696.56</v>
      </c>
    </row>
    <row r="435" spans="1:8" x14ac:dyDescent="0.3">
      <c r="A435" s="2">
        <v>45442</v>
      </c>
      <c r="B435" t="s">
        <v>8</v>
      </c>
      <c r="C435" t="s">
        <v>17</v>
      </c>
      <c r="D435" t="s">
        <v>28</v>
      </c>
      <c r="E435">
        <v>2</v>
      </c>
      <c r="F435">
        <v>1305.7</v>
      </c>
      <c r="G435">
        <v>2611.4</v>
      </c>
      <c r="H435">
        <v>554.85</v>
      </c>
    </row>
    <row r="436" spans="1:8" x14ac:dyDescent="0.3">
      <c r="A436" s="2">
        <v>45442</v>
      </c>
      <c r="B436" t="s">
        <v>8</v>
      </c>
      <c r="C436" t="s">
        <v>15</v>
      </c>
      <c r="D436" t="s">
        <v>30</v>
      </c>
      <c r="E436">
        <v>8</v>
      </c>
      <c r="F436">
        <v>1154.58</v>
      </c>
      <c r="G436">
        <v>9236.64</v>
      </c>
      <c r="H436">
        <v>927.09</v>
      </c>
    </row>
    <row r="437" spans="1:8" x14ac:dyDescent="0.3">
      <c r="A437" s="2">
        <v>45442</v>
      </c>
      <c r="B437" t="s">
        <v>11</v>
      </c>
      <c r="C437" t="s">
        <v>14</v>
      </c>
      <c r="D437" t="s">
        <v>19</v>
      </c>
      <c r="E437">
        <v>6</v>
      </c>
      <c r="F437">
        <v>2200.21</v>
      </c>
      <c r="G437">
        <v>13201.26</v>
      </c>
      <c r="H437">
        <v>2895.72</v>
      </c>
    </row>
    <row r="438" spans="1:8" x14ac:dyDescent="0.3">
      <c r="A438" s="2">
        <v>45442</v>
      </c>
      <c r="B438" t="s">
        <v>10</v>
      </c>
      <c r="C438" t="s">
        <v>16</v>
      </c>
      <c r="D438" t="s">
        <v>26</v>
      </c>
      <c r="E438">
        <v>4</v>
      </c>
      <c r="F438">
        <v>1489.43</v>
      </c>
      <c r="G438">
        <v>5957.72</v>
      </c>
      <c r="H438">
        <v>884.3</v>
      </c>
    </row>
    <row r="439" spans="1:8" x14ac:dyDescent="0.3">
      <c r="A439" s="2">
        <v>45443</v>
      </c>
      <c r="B439" t="s">
        <v>13</v>
      </c>
      <c r="C439" t="s">
        <v>16</v>
      </c>
      <c r="D439" t="s">
        <v>25</v>
      </c>
      <c r="E439">
        <v>8</v>
      </c>
      <c r="F439">
        <v>2076.61</v>
      </c>
      <c r="G439">
        <v>16612.88</v>
      </c>
      <c r="H439">
        <v>3889.46</v>
      </c>
    </row>
    <row r="440" spans="1:8" x14ac:dyDescent="0.3">
      <c r="A440" s="2">
        <v>45443</v>
      </c>
      <c r="B440" t="s">
        <v>12</v>
      </c>
      <c r="C440" t="s">
        <v>14</v>
      </c>
      <c r="D440" t="s">
        <v>21</v>
      </c>
      <c r="E440">
        <v>8</v>
      </c>
      <c r="F440">
        <v>532.55999999999995</v>
      </c>
      <c r="G440">
        <v>4260.4799999999996</v>
      </c>
      <c r="H440">
        <v>1020.02</v>
      </c>
    </row>
    <row r="441" spans="1:8" x14ac:dyDescent="0.3">
      <c r="A441" s="2">
        <v>45443</v>
      </c>
      <c r="B441" t="s">
        <v>8</v>
      </c>
      <c r="C441" t="s">
        <v>17</v>
      </c>
      <c r="D441" t="s">
        <v>27</v>
      </c>
      <c r="E441">
        <v>1</v>
      </c>
      <c r="F441">
        <v>2483.6799999999998</v>
      </c>
      <c r="G441">
        <v>2483.6799999999998</v>
      </c>
      <c r="H441">
        <v>407.75</v>
      </c>
    </row>
    <row r="442" spans="1:8" x14ac:dyDescent="0.3">
      <c r="A442" s="2">
        <v>45444</v>
      </c>
      <c r="B442" t="s">
        <v>13</v>
      </c>
      <c r="C442" t="s">
        <v>15</v>
      </c>
      <c r="D442" t="s">
        <v>24</v>
      </c>
      <c r="E442">
        <v>5</v>
      </c>
      <c r="F442">
        <v>686.68</v>
      </c>
      <c r="G442">
        <v>3433.4</v>
      </c>
      <c r="H442">
        <v>528.97</v>
      </c>
    </row>
    <row r="443" spans="1:8" x14ac:dyDescent="0.3">
      <c r="A443" s="2">
        <v>45444</v>
      </c>
      <c r="B443" t="s">
        <v>8</v>
      </c>
      <c r="C443" t="s">
        <v>15</v>
      </c>
      <c r="D443" t="s">
        <v>24</v>
      </c>
      <c r="E443">
        <v>1</v>
      </c>
      <c r="F443">
        <v>1292.68</v>
      </c>
      <c r="G443">
        <v>1292.68</v>
      </c>
      <c r="H443">
        <v>188.51</v>
      </c>
    </row>
    <row r="444" spans="1:8" x14ac:dyDescent="0.3">
      <c r="A444" s="2">
        <v>45445</v>
      </c>
      <c r="B444" t="s">
        <v>12</v>
      </c>
      <c r="C444" t="s">
        <v>17</v>
      </c>
      <c r="D444" t="s">
        <v>28</v>
      </c>
      <c r="E444">
        <v>2</v>
      </c>
      <c r="F444">
        <v>502.17</v>
      </c>
      <c r="G444">
        <v>1004.34</v>
      </c>
      <c r="H444">
        <v>172.27</v>
      </c>
    </row>
    <row r="445" spans="1:8" x14ac:dyDescent="0.3">
      <c r="A445" s="2">
        <v>45445</v>
      </c>
      <c r="B445" t="s">
        <v>13</v>
      </c>
      <c r="C445" t="s">
        <v>16</v>
      </c>
      <c r="D445" t="s">
        <v>25</v>
      </c>
      <c r="E445">
        <v>8</v>
      </c>
      <c r="F445">
        <v>518.57000000000005</v>
      </c>
      <c r="G445">
        <v>4148.5600000000004</v>
      </c>
      <c r="H445">
        <v>847.71</v>
      </c>
    </row>
    <row r="446" spans="1:8" x14ac:dyDescent="0.3">
      <c r="A446" s="2">
        <v>45446</v>
      </c>
      <c r="B446" t="s">
        <v>13</v>
      </c>
      <c r="C446" t="s">
        <v>16</v>
      </c>
      <c r="D446" t="s">
        <v>26</v>
      </c>
      <c r="E446">
        <v>2</v>
      </c>
      <c r="F446">
        <v>957.89</v>
      </c>
      <c r="G446">
        <v>1915.78</v>
      </c>
      <c r="H446">
        <v>217.25</v>
      </c>
    </row>
    <row r="447" spans="1:8" x14ac:dyDescent="0.3">
      <c r="A447" s="2">
        <v>45446</v>
      </c>
      <c r="B447" t="s">
        <v>12</v>
      </c>
      <c r="C447" t="s">
        <v>14</v>
      </c>
      <c r="D447" t="s">
        <v>18</v>
      </c>
      <c r="E447">
        <v>6</v>
      </c>
      <c r="F447">
        <v>2261.98</v>
      </c>
      <c r="G447">
        <v>13571.88</v>
      </c>
      <c r="H447">
        <v>1636.35</v>
      </c>
    </row>
    <row r="448" spans="1:8" x14ac:dyDescent="0.3">
      <c r="A448" s="2">
        <v>45446</v>
      </c>
      <c r="B448" t="s">
        <v>12</v>
      </c>
      <c r="C448" t="s">
        <v>16</v>
      </c>
      <c r="D448" t="s">
        <v>29</v>
      </c>
      <c r="E448">
        <v>9</v>
      </c>
      <c r="F448">
        <v>1626.58</v>
      </c>
      <c r="G448">
        <v>14639.22</v>
      </c>
      <c r="H448">
        <v>2804.11</v>
      </c>
    </row>
    <row r="449" spans="1:8" x14ac:dyDescent="0.3">
      <c r="A449" s="2">
        <v>45446</v>
      </c>
      <c r="B449" t="s">
        <v>11</v>
      </c>
      <c r="C449" t="s">
        <v>17</v>
      </c>
      <c r="D449" t="s">
        <v>27</v>
      </c>
      <c r="E449">
        <v>4</v>
      </c>
      <c r="F449">
        <v>1756.16</v>
      </c>
      <c r="G449">
        <v>7024.64</v>
      </c>
      <c r="H449">
        <v>861.97</v>
      </c>
    </row>
    <row r="450" spans="1:8" x14ac:dyDescent="0.3">
      <c r="A450" s="2">
        <v>45447</v>
      </c>
      <c r="B450" t="s">
        <v>13</v>
      </c>
      <c r="C450" t="s">
        <v>17</v>
      </c>
      <c r="D450" t="s">
        <v>28</v>
      </c>
      <c r="E450">
        <v>2</v>
      </c>
      <c r="F450">
        <v>2293.19</v>
      </c>
      <c r="G450">
        <v>4586.38</v>
      </c>
      <c r="H450">
        <v>554.96</v>
      </c>
    </row>
    <row r="451" spans="1:8" x14ac:dyDescent="0.3">
      <c r="A451" s="2">
        <v>45447</v>
      </c>
      <c r="B451" t="s">
        <v>10</v>
      </c>
      <c r="C451" t="s">
        <v>17</v>
      </c>
      <c r="D451" t="s">
        <v>27</v>
      </c>
      <c r="E451">
        <v>7</v>
      </c>
      <c r="F451">
        <v>1129.01</v>
      </c>
      <c r="G451">
        <v>7903.07</v>
      </c>
      <c r="H451">
        <v>956.07</v>
      </c>
    </row>
    <row r="452" spans="1:8" x14ac:dyDescent="0.3">
      <c r="A452" s="2">
        <v>45447</v>
      </c>
      <c r="B452" t="s">
        <v>10</v>
      </c>
      <c r="C452" t="s">
        <v>14</v>
      </c>
      <c r="D452" t="s">
        <v>20</v>
      </c>
      <c r="E452">
        <v>9</v>
      </c>
      <c r="F452">
        <v>1702</v>
      </c>
      <c r="G452">
        <v>15318</v>
      </c>
      <c r="H452">
        <v>3188.85</v>
      </c>
    </row>
    <row r="453" spans="1:8" x14ac:dyDescent="0.3">
      <c r="A453" s="2">
        <v>45447</v>
      </c>
      <c r="B453" t="s">
        <v>8</v>
      </c>
      <c r="C453" t="s">
        <v>14</v>
      </c>
      <c r="D453" t="s">
        <v>18</v>
      </c>
      <c r="E453">
        <v>4</v>
      </c>
      <c r="F453">
        <v>1535.5</v>
      </c>
      <c r="G453">
        <v>6142</v>
      </c>
      <c r="H453">
        <v>1083.6199999999999</v>
      </c>
    </row>
    <row r="454" spans="1:8" x14ac:dyDescent="0.3">
      <c r="A454" s="2">
        <v>45447</v>
      </c>
      <c r="B454" t="s">
        <v>12</v>
      </c>
      <c r="C454" t="s">
        <v>17</v>
      </c>
      <c r="D454" t="s">
        <v>27</v>
      </c>
      <c r="E454">
        <v>1</v>
      </c>
      <c r="F454">
        <v>2067.6</v>
      </c>
      <c r="G454">
        <v>2067.6</v>
      </c>
      <c r="H454">
        <v>452.94</v>
      </c>
    </row>
    <row r="455" spans="1:8" x14ac:dyDescent="0.3">
      <c r="A455" s="2">
        <v>45448</v>
      </c>
      <c r="B455" t="s">
        <v>9</v>
      </c>
      <c r="C455" t="s">
        <v>17</v>
      </c>
      <c r="D455" t="s">
        <v>28</v>
      </c>
      <c r="E455">
        <v>4</v>
      </c>
      <c r="F455">
        <v>1499.17</v>
      </c>
      <c r="G455">
        <v>5996.68</v>
      </c>
      <c r="H455">
        <v>1133.9100000000001</v>
      </c>
    </row>
    <row r="456" spans="1:8" x14ac:dyDescent="0.3">
      <c r="A456" s="2">
        <v>45448</v>
      </c>
      <c r="B456" t="s">
        <v>9</v>
      </c>
      <c r="C456" t="s">
        <v>14</v>
      </c>
      <c r="D456" t="s">
        <v>18</v>
      </c>
      <c r="E456">
        <v>6</v>
      </c>
      <c r="F456">
        <v>763.97</v>
      </c>
      <c r="G456">
        <v>4583.82</v>
      </c>
      <c r="H456">
        <v>1050.25</v>
      </c>
    </row>
    <row r="457" spans="1:8" x14ac:dyDescent="0.3">
      <c r="A457" s="2">
        <v>45448</v>
      </c>
      <c r="B457" t="s">
        <v>13</v>
      </c>
      <c r="C457" t="s">
        <v>17</v>
      </c>
      <c r="D457" t="s">
        <v>27</v>
      </c>
      <c r="E457">
        <v>9</v>
      </c>
      <c r="F457">
        <v>1865.88</v>
      </c>
      <c r="G457">
        <v>16792.919999999998</v>
      </c>
      <c r="H457">
        <v>3600.55</v>
      </c>
    </row>
    <row r="458" spans="1:8" x14ac:dyDescent="0.3">
      <c r="A458" s="2">
        <v>45448</v>
      </c>
      <c r="B458" t="s">
        <v>13</v>
      </c>
      <c r="C458" t="s">
        <v>14</v>
      </c>
      <c r="D458" t="s">
        <v>21</v>
      </c>
      <c r="E458">
        <v>1</v>
      </c>
      <c r="F458">
        <v>1024.3699999999999</v>
      </c>
      <c r="G458">
        <v>1024.3699999999999</v>
      </c>
      <c r="H458">
        <v>108.56</v>
      </c>
    </row>
    <row r="459" spans="1:8" x14ac:dyDescent="0.3">
      <c r="A459" s="2">
        <v>45449</v>
      </c>
      <c r="B459" t="s">
        <v>9</v>
      </c>
      <c r="C459" t="s">
        <v>15</v>
      </c>
      <c r="D459" t="s">
        <v>30</v>
      </c>
      <c r="E459">
        <v>7</v>
      </c>
      <c r="F459">
        <v>1903.62</v>
      </c>
      <c r="G459">
        <v>13325.34</v>
      </c>
      <c r="H459">
        <v>1497.29</v>
      </c>
    </row>
    <row r="460" spans="1:8" x14ac:dyDescent="0.3">
      <c r="A460" s="2">
        <v>45449</v>
      </c>
      <c r="B460" t="s">
        <v>12</v>
      </c>
      <c r="C460" t="s">
        <v>16</v>
      </c>
      <c r="D460" t="s">
        <v>26</v>
      </c>
      <c r="E460">
        <v>2</v>
      </c>
      <c r="F460">
        <v>1119.81</v>
      </c>
      <c r="G460">
        <v>2239.62</v>
      </c>
      <c r="H460">
        <v>395.73</v>
      </c>
    </row>
    <row r="461" spans="1:8" x14ac:dyDescent="0.3">
      <c r="A461" s="2">
        <v>45449</v>
      </c>
      <c r="B461" t="s">
        <v>8</v>
      </c>
      <c r="C461" t="s">
        <v>16</v>
      </c>
      <c r="D461" t="s">
        <v>25</v>
      </c>
      <c r="E461">
        <v>6</v>
      </c>
      <c r="F461">
        <v>1281.46</v>
      </c>
      <c r="G461">
        <v>7688.76</v>
      </c>
      <c r="H461">
        <v>1500.42</v>
      </c>
    </row>
    <row r="462" spans="1:8" x14ac:dyDescent="0.3">
      <c r="A462" s="2">
        <v>45449</v>
      </c>
      <c r="B462" t="s">
        <v>13</v>
      </c>
      <c r="C462" t="s">
        <v>14</v>
      </c>
      <c r="D462" t="s">
        <v>18</v>
      </c>
      <c r="E462">
        <v>7</v>
      </c>
      <c r="F462">
        <v>1959.92</v>
      </c>
      <c r="G462">
        <v>13719.44</v>
      </c>
      <c r="H462">
        <v>3113.9</v>
      </c>
    </row>
    <row r="463" spans="1:8" x14ac:dyDescent="0.3">
      <c r="A463" s="2">
        <v>45450</v>
      </c>
      <c r="B463" t="s">
        <v>10</v>
      </c>
      <c r="C463" t="s">
        <v>14</v>
      </c>
      <c r="D463" t="s">
        <v>19</v>
      </c>
      <c r="E463">
        <v>2</v>
      </c>
      <c r="F463">
        <v>1406.74</v>
      </c>
      <c r="G463">
        <v>2813.48</v>
      </c>
      <c r="H463">
        <v>538.29</v>
      </c>
    </row>
    <row r="464" spans="1:8" x14ac:dyDescent="0.3">
      <c r="A464" s="2">
        <v>45450</v>
      </c>
      <c r="B464" t="s">
        <v>12</v>
      </c>
      <c r="C464" t="s">
        <v>16</v>
      </c>
      <c r="D464" t="s">
        <v>29</v>
      </c>
      <c r="E464">
        <v>1</v>
      </c>
      <c r="F464">
        <v>1915.8</v>
      </c>
      <c r="G464">
        <v>1915.8</v>
      </c>
      <c r="H464">
        <v>393.17</v>
      </c>
    </row>
    <row r="465" spans="1:8" x14ac:dyDescent="0.3">
      <c r="A465" s="2">
        <v>45451</v>
      </c>
      <c r="B465" t="s">
        <v>10</v>
      </c>
      <c r="C465" t="s">
        <v>15</v>
      </c>
      <c r="D465" t="s">
        <v>23</v>
      </c>
      <c r="E465">
        <v>3</v>
      </c>
      <c r="F465">
        <v>1243.74</v>
      </c>
      <c r="G465">
        <v>3731.22</v>
      </c>
      <c r="H465">
        <v>792.76</v>
      </c>
    </row>
    <row r="466" spans="1:8" x14ac:dyDescent="0.3">
      <c r="A466" s="2">
        <v>45451</v>
      </c>
      <c r="B466" t="s">
        <v>13</v>
      </c>
      <c r="C466" t="s">
        <v>14</v>
      </c>
      <c r="D466" t="s">
        <v>21</v>
      </c>
      <c r="E466">
        <v>6</v>
      </c>
      <c r="F466">
        <v>2114.2199999999998</v>
      </c>
      <c r="G466">
        <v>12685.32</v>
      </c>
      <c r="H466">
        <v>1786.06</v>
      </c>
    </row>
    <row r="467" spans="1:8" x14ac:dyDescent="0.3">
      <c r="A467" s="2">
        <v>45451</v>
      </c>
      <c r="B467" t="s">
        <v>11</v>
      </c>
      <c r="C467" t="s">
        <v>15</v>
      </c>
      <c r="D467" t="s">
        <v>22</v>
      </c>
      <c r="E467">
        <v>8</v>
      </c>
      <c r="F467">
        <v>1410.4</v>
      </c>
      <c r="G467">
        <v>11283.2</v>
      </c>
      <c r="H467">
        <v>1737.82</v>
      </c>
    </row>
    <row r="468" spans="1:8" x14ac:dyDescent="0.3">
      <c r="A468" s="2">
        <v>45451</v>
      </c>
      <c r="B468" t="s">
        <v>9</v>
      </c>
      <c r="C468" t="s">
        <v>16</v>
      </c>
      <c r="D468" t="s">
        <v>26</v>
      </c>
      <c r="E468">
        <v>3</v>
      </c>
      <c r="F468">
        <v>1010.23</v>
      </c>
      <c r="G468">
        <v>3030.69</v>
      </c>
      <c r="H468">
        <v>349.85</v>
      </c>
    </row>
    <row r="469" spans="1:8" x14ac:dyDescent="0.3">
      <c r="A469" s="2">
        <v>45452</v>
      </c>
      <c r="B469" t="s">
        <v>13</v>
      </c>
      <c r="C469" t="s">
        <v>16</v>
      </c>
      <c r="D469" t="s">
        <v>25</v>
      </c>
      <c r="E469">
        <v>9</v>
      </c>
      <c r="F469">
        <v>505.14</v>
      </c>
      <c r="G469">
        <v>4546.26</v>
      </c>
      <c r="H469">
        <v>1040.2</v>
      </c>
    </row>
    <row r="470" spans="1:8" x14ac:dyDescent="0.3">
      <c r="A470" s="2">
        <v>45453</v>
      </c>
      <c r="B470" t="s">
        <v>13</v>
      </c>
      <c r="C470" t="s">
        <v>14</v>
      </c>
      <c r="D470" t="s">
        <v>19</v>
      </c>
      <c r="E470">
        <v>6</v>
      </c>
      <c r="F470">
        <v>1265.96</v>
      </c>
      <c r="G470">
        <v>7595.76</v>
      </c>
      <c r="H470">
        <v>930.58</v>
      </c>
    </row>
    <row r="471" spans="1:8" x14ac:dyDescent="0.3">
      <c r="A471" s="2">
        <v>45453</v>
      </c>
      <c r="B471" t="s">
        <v>10</v>
      </c>
      <c r="C471" t="s">
        <v>17</v>
      </c>
      <c r="D471" t="s">
        <v>28</v>
      </c>
      <c r="E471">
        <v>6</v>
      </c>
      <c r="F471">
        <v>996.53</v>
      </c>
      <c r="G471">
        <v>5979.18</v>
      </c>
      <c r="H471">
        <v>1419.33</v>
      </c>
    </row>
    <row r="472" spans="1:8" x14ac:dyDescent="0.3">
      <c r="A472" s="2">
        <v>45454</v>
      </c>
      <c r="B472" t="s">
        <v>12</v>
      </c>
      <c r="C472" t="s">
        <v>14</v>
      </c>
      <c r="D472" t="s">
        <v>18</v>
      </c>
      <c r="E472">
        <v>2</v>
      </c>
      <c r="F472">
        <v>1504.08</v>
      </c>
      <c r="G472">
        <v>3008.16</v>
      </c>
      <c r="H472">
        <v>707.79</v>
      </c>
    </row>
    <row r="473" spans="1:8" x14ac:dyDescent="0.3">
      <c r="A473" s="2">
        <v>45454</v>
      </c>
      <c r="B473" t="s">
        <v>11</v>
      </c>
      <c r="C473" t="s">
        <v>16</v>
      </c>
      <c r="D473" t="s">
        <v>25</v>
      </c>
      <c r="E473">
        <v>1</v>
      </c>
      <c r="F473">
        <v>2408.16</v>
      </c>
      <c r="G473">
        <v>2408.16</v>
      </c>
      <c r="H473">
        <v>265.70999999999998</v>
      </c>
    </row>
    <row r="474" spans="1:8" x14ac:dyDescent="0.3">
      <c r="A474" s="2">
        <v>45454</v>
      </c>
      <c r="B474" t="s">
        <v>10</v>
      </c>
      <c r="C474" t="s">
        <v>15</v>
      </c>
      <c r="D474" t="s">
        <v>23</v>
      </c>
      <c r="E474">
        <v>6</v>
      </c>
      <c r="F474">
        <v>672.77</v>
      </c>
      <c r="G474">
        <v>4036.62</v>
      </c>
      <c r="H474">
        <v>680.22</v>
      </c>
    </row>
    <row r="475" spans="1:8" x14ac:dyDescent="0.3">
      <c r="A475" s="2">
        <v>45455</v>
      </c>
      <c r="B475" t="s">
        <v>11</v>
      </c>
      <c r="C475" t="s">
        <v>15</v>
      </c>
      <c r="D475" t="s">
        <v>23</v>
      </c>
      <c r="E475">
        <v>10</v>
      </c>
      <c r="F475">
        <v>985.17</v>
      </c>
      <c r="G475">
        <v>9851.7000000000007</v>
      </c>
      <c r="H475">
        <v>1529.39</v>
      </c>
    </row>
    <row r="476" spans="1:8" x14ac:dyDescent="0.3">
      <c r="A476" s="2">
        <v>45455</v>
      </c>
      <c r="B476" t="s">
        <v>13</v>
      </c>
      <c r="C476" t="s">
        <v>16</v>
      </c>
      <c r="D476" t="s">
        <v>25</v>
      </c>
      <c r="E476">
        <v>9</v>
      </c>
      <c r="F476">
        <v>2020.96</v>
      </c>
      <c r="G476">
        <v>18188.64</v>
      </c>
      <c r="H476">
        <v>2487.64</v>
      </c>
    </row>
    <row r="477" spans="1:8" x14ac:dyDescent="0.3">
      <c r="A477" s="2">
        <v>45456</v>
      </c>
      <c r="B477" t="s">
        <v>13</v>
      </c>
      <c r="C477" t="s">
        <v>14</v>
      </c>
      <c r="D477" t="s">
        <v>20</v>
      </c>
      <c r="E477">
        <v>9</v>
      </c>
      <c r="F477">
        <v>1192.8499999999999</v>
      </c>
      <c r="G477">
        <v>10735.65</v>
      </c>
      <c r="H477">
        <v>2425.5700000000002</v>
      </c>
    </row>
    <row r="478" spans="1:8" x14ac:dyDescent="0.3">
      <c r="A478" s="2">
        <v>45456</v>
      </c>
      <c r="B478" t="s">
        <v>13</v>
      </c>
      <c r="C478" t="s">
        <v>15</v>
      </c>
      <c r="D478" t="s">
        <v>22</v>
      </c>
      <c r="E478">
        <v>7</v>
      </c>
      <c r="F478">
        <v>2198.0100000000002</v>
      </c>
      <c r="G478">
        <v>15386.07</v>
      </c>
      <c r="H478">
        <v>3216.95</v>
      </c>
    </row>
    <row r="479" spans="1:8" x14ac:dyDescent="0.3">
      <c r="A479" s="2">
        <v>45456</v>
      </c>
      <c r="B479" t="s">
        <v>12</v>
      </c>
      <c r="C479" t="s">
        <v>16</v>
      </c>
      <c r="D479" t="s">
        <v>25</v>
      </c>
      <c r="E479">
        <v>4</v>
      </c>
      <c r="F479">
        <v>1339.63</v>
      </c>
      <c r="G479">
        <v>5358.52</v>
      </c>
      <c r="H479">
        <v>1308.43</v>
      </c>
    </row>
    <row r="480" spans="1:8" x14ac:dyDescent="0.3">
      <c r="A480" s="2">
        <v>45456</v>
      </c>
      <c r="B480" t="s">
        <v>9</v>
      </c>
      <c r="C480" t="s">
        <v>15</v>
      </c>
      <c r="D480" t="s">
        <v>22</v>
      </c>
      <c r="E480">
        <v>1</v>
      </c>
      <c r="F480">
        <v>2342.5500000000002</v>
      </c>
      <c r="G480">
        <v>2342.5500000000002</v>
      </c>
      <c r="H480">
        <v>549.54999999999995</v>
      </c>
    </row>
    <row r="481" spans="1:8" x14ac:dyDescent="0.3">
      <c r="A481" s="2">
        <v>45457</v>
      </c>
      <c r="B481" t="s">
        <v>8</v>
      </c>
      <c r="C481" t="s">
        <v>15</v>
      </c>
      <c r="D481" t="s">
        <v>30</v>
      </c>
      <c r="E481">
        <v>2</v>
      </c>
      <c r="F481">
        <v>1661.54</v>
      </c>
      <c r="G481">
        <v>3323.08</v>
      </c>
      <c r="H481">
        <v>584.24</v>
      </c>
    </row>
    <row r="482" spans="1:8" x14ac:dyDescent="0.3">
      <c r="A482" s="2">
        <v>45457</v>
      </c>
      <c r="B482" t="s">
        <v>12</v>
      </c>
      <c r="C482" t="s">
        <v>17</v>
      </c>
      <c r="D482" t="s">
        <v>28</v>
      </c>
      <c r="E482">
        <v>10</v>
      </c>
      <c r="F482">
        <v>1635.64</v>
      </c>
      <c r="G482">
        <v>16356.4</v>
      </c>
      <c r="H482">
        <v>2702.85</v>
      </c>
    </row>
    <row r="483" spans="1:8" x14ac:dyDescent="0.3">
      <c r="A483" s="2">
        <v>45457</v>
      </c>
      <c r="B483" t="s">
        <v>11</v>
      </c>
      <c r="C483" t="s">
        <v>16</v>
      </c>
      <c r="D483" t="s">
        <v>26</v>
      </c>
      <c r="E483">
        <v>5</v>
      </c>
      <c r="F483">
        <v>2201.83</v>
      </c>
      <c r="G483">
        <v>11009.15</v>
      </c>
      <c r="H483">
        <v>2630.16</v>
      </c>
    </row>
    <row r="484" spans="1:8" x14ac:dyDescent="0.3">
      <c r="A484" s="2">
        <v>45457</v>
      </c>
      <c r="B484" t="s">
        <v>12</v>
      </c>
      <c r="C484" t="s">
        <v>15</v>
      </c>
      <c r="D484" t="s">
        <v>23</v>
      </c>
      <c r="E484">
        <v>8</v>
      </c>
      <c r="F484">
        <v>1043.9100000000001</v>
      </c>
      <c r="G484">
        <v>8351.2800000000007</v>
      </c>
      <c r="H484">
        <v>928.69</v>
      </c>
    </row>
    <row r="485" spans="1:8" x14ac:dyDescent="0.3">
      <c r="A485" s="2">
        <v>45458</v>
      </c>
      <c r="B485" t="s">
        <v>11</v>
      </c>
      <c r="C485" t="s">
        <v>14</v>
      </c>
      <c r="D485" t="s">
        <v>20</v>
      </c>
      <c r="E485">
        <v>2</v>
      </c>
      <c r="F485">
        <v>828.75</v>
      </c>
      <c r="G485">
        <v>1657.5</v>
      </c>
      <c r="H485">
        <v>281.62</v>
      </c>
    </row>
    <row r="486" spans="1:8" x14ac:dyDescent="0.3">
      <c r="A486" s="2">
        <v>45458</v>
      </c>
      <c r="B486" t="s">
        <v>13</v>
      </c>
      <c r="C486" t="s">
        <v>14</v>
      </c>
      <c r="D486" t="s">
        <v>18</v>
      </c>
      <c r="E486">
        <v>4</v>
      </c>
      <c r="F486">
        <v>1403.83</v>
      </c>
      <c r="G486">
        <v>5615.32</v>
      </c>
      <c r="H486">
        <v>951.81</v>
      </c>
    </row>
    <row r="487" spans="1:8" x14ac:dyDescent="0.3">
      <c r="A487" s="2">
        <v>45459</v>
      </c>
      <c r="B487" t="s">
        <v>13</v>
      </c>
      <c r="C487" t="s">
        <v>16</v>
      </c>
      <c r="D487" t="s">
        <v>25</v>
      </c>
      <c r="E487">
        <v>5</v>
      </c>
      <c r="F487">
        <v>2152.77</v>
      </c>
      <c r="G487">
        <v>10763.85</v>
      </c>
      <c r="H487">
        <v>2201.5500000000002</v>
      </c>
    </row>
    <row r="488" spans="1:8" x14ac:dyDescent="0.3">
      <c r="A488" s="2">
        <v>45460</v>
      </c>
      <c r="B488" t="s">
        <v>11</v>
      </c>
      <c r="C488" t="s">
        <v>15</v>
      </c>
      <c r="D488" t="s">
        <v>24</v>
      </c>
      <c r="E488">
        <v>2</v>
      </c>
      <c r="F488">
        <v>1922.31</v>
      </c>
      <c r="G488">
        <v>3844.62</v>
      </c>
      <c r="H488">
        <v>942.93</v>
      </c>
    </row>
    <row r="489" spans="1:8" x14ac:dyDescent="0.3">
      <c r="A489" s="2">
        <v>45460</v>
      </c>
      <c r="B489" t="s">
        <v>11</v>
      </c>
      <c r="C489" t="s">
        <v>14</v>
      </c>
      <c r="D489" t="s">
        <v>18</v>
      </c>
      <c r="E489">
        <v>5</v>
      </c>
      <c r="F489">
        <v>2140.1799999999998</v>
      </c>
      <c r="G489">
        <v>10700.9</v>
      </c>
      <c r="H489">
        <v>1349.17</v>
      </c>
    </row>
    <row r="490" spans="1:8" x14ac:dyDescent="0.3">
      <c r="A490" s="2">
        <v>45461</v>
      </c>
      <c r="B490" t="s">
        <v>13</v>
      </c>
      <c r="C490" t="s">
        <v>16</v>
      </c>
      <c r="D490" t="s">
        <v>29</v>
      </c>
      <c r="E490">
        <v>8</v>
      </c>
      <c r="F490">
        <v>703.81</v>
      </c>
      <c r="G490">
        <v>5630.48</v>
      </c>
      <c r="H490">
        <v>1233.48</v>
      </c>
    </row>
    <row r="491" spans="1:8" x14ac:dyDescent="0.3">
      <c r="A491" s="2">
        <v>45461</v>
      </c>
      <c r="B491" t="s">
        <v>10</v>
      </c>
      <c r="C491" t="s">
        <v>14</v>
      </c>
      <c r="D491" t="s">
        <v>21</v>
      </c>
      <c r="E491">
        <v>4</v>
      </c>
      <c r="F491">
        <v>761.43</v>
      </c>
      <c r="G491">
        <v>3045.72</v>
      </c>
      <c r="H491">
        <v>680.87</v>
      </c>
    </row>
    <row r="492" spans="1:8" x14ac:dyDescent="0.3">
      <c r="A492" s="2">
        <v>45461</v>
      </c>
      <c r="B492" t="s">
        <v>8</v>
      </c>
      <c r="C492" t="s">
        <v>14</v>
      </c>
      <c r="D492" t="s">
        <v>18</v>
      </c>
      <c r="E492">
        <v>2</v>
      </c>
      <c r="F492">
        <v>543.6</v>
      </c>
      <c r="G492">
        <v>1087.2</v>
      </c>
      <c r="H492">
        <v>119.23</v>
      </c>
    </row>
    <row r="493" spans="1:8" x14ac:dyDescent="0.3">
      <c r="A493" s="2">
        <v>45461</v>
      </c>
      <c r="B493" t="s">
        <v>10</v>
      </c>
      <c r="C493" t="s">
        <v>17</v>
      </c>
      <c r="D493" t="s">
        <v>28</v>
      </c>
      <c r="E493">
        <v>2</v>
      </c>
      <c r="F493">
        <v>2310.16</v>
      </c>
      <c r="G493">
        <v>4620.32</v>
      </c>
      <c r="H493">
        <v>1036.82</v>
      </c>
    </row>
    <row r="494" spans="1:8" x14ac:dyDescent="0.3">
      <c r="A494" s="2">
        <v>45462</v>
      </c>
      <c r="B494" t="s">
        <v>8</v>
      </c>
      <c r="C494" t="s">
        <v>14</v>
      </c>
      <c r="D494" t="s">
        <v>19</v>
      </c>
      <c r="E494">
        <v>1</v>
      </c>
      <c r="F494">
        <v>835.98</v>
      </c>
      <c r="G494">
        <v>835.98</v>
      </c>
      <c r="H494">
        <v>155.56</v>
      </c>
    </row>
    <row r="495" spans="1:8" x14ac:dyDescent="0.3">
      <c r="A495" s="2">
        <v>45463</v>
      </c>
      <c r="B495" t="s">
        <v>12</v>
      </c>
      <c r="C495" t="s">
        <v>17</v>
      </c>
      <c r="D495" t="s">
        <v>28</v>
      </c>
      <c r="E495">
        <v>7</v>
      </c>
      <c r="F495">
        <v>1866.43</v>
      </c>
      <c r="G495">
        <v>13065.01</v>
      </c>
      <c r="H495">
        <v>1645.16</v>
      </c>
    </row>
    <row r="496" spans="1:8" x14ac:dyDescent="0.3">
      <c r="A496" s="2">
        <v>45463</v>
      </c>
      <c r="B496" t="s">
        <v>9</v>
      </c>
      <c r="C496" t="s">
        <v>16</v>
      </c>
      <c r="D496" t="s">
        <v>26</v>
      </c>
      <c r="E496">
        <v>5</v>
      </c>
      <c r="F496">
        <v>1392.02</v>
      </c>
      <c r="G496">
        <v>6960.1</v>
      </c>
      <c r="H496">
        <v>851.18</v>
      </c>
    </row>
    <row r="497" spans="1:8" x14ac:dyDescent="0.3">
      <c r="A497" s="2">
        <v>45463</v>
      </c>
      <c r="B497" t="s">
        <v>11</v>
      </c>
      <c r="C497" t="s">
        <v>16</v>
      </c>
      <c r="D497" t="s">
        <v>25</v>
      </c>
      <c r="E497">
        <v>5</v>
      </c>
      <c r="F497">
        <v>1497.78</v>
      </c>
      <c r="G497">
        <v>7488.9</v>
      </c>
      <c r="H497">
        <v>1740.55</v>
      </c>
    </row>
    <row r="498" spans="1:8" x14ac:dyDescent="0.3">
      <c r="A498" s="2">
        <v>45463</v>
      </c>
      <c r="B498" t="s">
        <v>8</v>
      </c>
      <c r="C498" t="s">
        <v>14</v>
      </c>
      <c r="D498" t="s">
        <v>21</v>
      </c>
      <c r="E498">
        <v>5</v>
      </c>
      <c r="F498">
        <v>1266.03</v>
      </c>
      <c r="G498">
        <v>6330.15</v>
      </c>
      <c r="H498">
        <v>1031.0899999999999</v>
      </c>
    </row>
    <row r="499" spans="1:8" x14ac:dyDescent="0.3">
      <c r="A499" s="2">
        <v>45464</v>
      </c>
      <c r="B499" t="s">
        <v>8</v>
      </c>
      <c r="C499" t="s">
        <v>16</v>
      </c>
      <c r="D499" t="s">
        <v>25</v>
      </c>
      <c r="E499">
        <v>9</v>
      </c>
      <c r="F499">
        <v>2089.69</v>
      </c>
      <c r="G499">
        <v>18807.21</v>
      </c>
      <c r="H499">
        <v>4671.91</v>
      </c>
    </row>
    <row r="500" spans="1:8" x14ac:dyDescent="0.3">
      <c r="A500" s="2">
        <v>45464</v>
      </c>
      <c r="B500" t="s">
        <v>9</v>
      </c>
      <c r="C500" t="s">
        <v>15</v>
      </c>
      <c r="D500" t="s">
        <v>30</v>
      </c>
      <c r="E500">
        <v>9</v>
      </c>
      <c r="F500">
        <v>2062.87</v>
      </c>
      <c r="G500">
        <v>18565.830000000002</v>
      </c>
      <c r="H500">
        <v>2814.67</v>
      </c>
    </row>
    <row r="501" spans="1:8" x14ac:dyDescent="0.3">
      <c r="A501" s="2">
        <v>45464</v>
      </c>
      <c r="B501" t="s">
        <v>12</v>
      </c>
      <c r="C501" t="s">
        <v>15</v>
      </c>
      <c r="D501" t="s">
        <v>30</v>
      </c>
      <c r="E501">
        <v>5</v>
      </c>
      <c r="F501">
        <v>859.63</v>
      </c>
      <c r="G501">
        <v>4298.1499999999996</v>
      </c>
      <c r="H501">
        <v>635.4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D1CD-5259-4E20-8522-A5613834515D}">
  <dimension ref="A1:K501"/>
  <sheetViews>
    <sheetView tabSelected="1" workbookViewId="0">
      <selection activeCell="K1" sqref="K1:K1048576"/>
    </sheetView>
  </sheetViews>
  <sheetFormatPr defaultRowHeight="14.4" x14ac:dyDescent="0.3"/>
  <cols>
    <col min="1" max="1" width="9.5546875" style="5" bestFit="1" customWidth="1"/>
    <col min="2" max="2" width="12.6640625" style="9" bestFit="1" customWidth="1"/>
    <col min="3" max="3" width="20.21875" style="9" bestFit="1" customWidth="1"/>
    <col min="4" max="4" width="17.77734375" bestFit="1" customWidth="1"/>
    <col min="5" max="5" width="16.88671875" style="7" bestFit="1" customWidth="1"/>
    <col min="6" max="6" width="19.33203125" style="11" bestFit="1" customWidth="1"/>
    <col min="7" max="7" width="20.109375" style="11" bestFit="1" customWidth="1"/>
    <col min="8" max="8" width="15.77734375" style="11" bestFit="1" customWidth="1"/>
    <col min="9" max="9" width="19.44140625" bestFit="1" customWidth="1"/>
    <col min="10" max="10" width="11.21875" bestFit="1" customWidth="1"/>
    <col min="11" max="11" width="18.6640625" style="20" bestFit="1" customWidth="1"/>
  </cols>
  <sheetData>
    <row r="1" spans="1:11" x14ac:dyDescent="0.3">
      <c r="A1" s="4" t="s">
        <v>0</v>
      </c>
      <c r="B1" s="8" t="s">
        <v>1</v>
      </c>
      <c r="C1" s="8" t="s">
        <v>2</v>
      </c>
      <c r="D1" s="3" t="s">
        <v>3</v>
      </c>
      <c r="E1" s="6" t="s">
        <v>4</v>
      </c>
      <c r="F1" s="10" t="s">
        <v>5</v>
      </c>
      <c r="G1" s="10" t="s">
        <v>6</v>
      </c>
      <c r="H1" s="10" t="s">
        <v>7</v>
      </c>
      <c r="I1" s="3" t="s">
        <v>50</v>
      </c>
      <c r="J1" s="3" t="s">
        <v>58</v>
      </c>
      <c r="K1" s="19" t="s">
        <v>59</v>
      </c>
    </row>
    <row r="2" spans="1:11" x14ac:dyDescent="0.3">
      <c r="A2" s="5">
        <v>45292</v>
      </c>
      <c r="B2" s="9" t="s">
        <v>8</v>
      </c>
      <c r="C2" s="9" t="s">
        <v>14</v>
      </c>
      <c r="D2" s="9" t="s">
        <v>18</v>
      </c>
      <c r="E2" s="7">
        <v>4</v>
      </c>
      <c r="F2" s="11">
        <v>946.42</v>
      </c>
      <c r="G2" s="11">
        <v>3785.68</v>
      </c>
      <c r="H2" s="11">
        <v>796.77</v>
      </c>
      <c r="I2" s="11" t="str">
        <f>TEXT(SalesData[[#This Row],[Date]],"dddd")</f>
        <v>Monday</v>
      </c>
      <c r="J2" s="18" t="str">
        <f>TEXT(SalesData[[#This Row],[Date]],"mmm")</f>
        <v>Jan</v>
      </c>
      <c r="K2" s="20">
        <f>MONTH(SalesData[[#This Row],[Date]])</f>
        <v>1</v>
      </c>
    </row>
    <row r="3" spans="1:11" x14ac:dyDescent="0.3">
      <c r="A3" s="5">
        <v>45293</v>
      </c>
      <c r="B3" s="9" t="s">
        <v>9</v>
      </c>
      <c r="C3" s="9" t="s">
        <v>14</v>
      </c>
      <c r="D3" s="9" t="s">
        <v>19</v>
      </c>
      <c r="E3" s="7">
        <v>1</v>
      </c>
      <c r="F3" s="11">
        <v>559.59</v>
      </c>
      <c r="G3" s="11">
        <v>559.59</v>
      </c>
      <c r="H3" s="11">
        <v>74.31</v>
      </c>
      <c r="I3" s="11" t="str">
        <f>TEXT(SalesData[[#This Row],[Date]],"dddd")</f>
        <v>Tuesday</v>
      </c>
      <c r="J3" s="11" t="str">
        <f>TEXT(SalesData[[#This Row],[Date]],"mmm")</f>
        <v>Jan</v>
      </c>
      <c r="K3" s="20">
        <f>MONTH(SalesData[[#This Row],[Date]])</f>
        <v>1</v>
      </c>
    </row>
    <row r="4" spans="1:11" x14ac:dyDescent="0.3">
      <c r="A4" s="5">
        <v>45293</v>
      </c>
      <c r="B4" s="9" t="s">
        <v>10</v>
      </c>
      <c r="C4" s="9" t="s">
        <v>14</v>
      </c>
      <c r="D4" s="9" t="s">
        <v>20</v>
      </c>
      <c r="E4" s="7">
        <v>9</v>
      </c>
      <c r="F4" s="11">
        <v>1339.04</v>
      </c>
      <c r="G4" s="11">
        <v>12051.36</v>
      </c>
      <c r="H4" s="11">
        <v>2017.17</v>
      </c>
      <c r="I4" s="11" t="str">
        <f>TEXT(SalesData[[#This Row],[Date]],"dddd")</f>
        <v>Tuesday</v>
      </c>
      <c r="J4" s="11" t="str">
        <f>TEXT(SalesData[[#This Row],[Date]],"mmm")</f>
        <v>Jan</v>
      </c>
      <c r="K4" s="20">
        <f>MONTH(SalesData[[#This Row],[Date]])</f>
        <v>1</v>
      </c>
    </row>
    <row r="5" spans="1:11" x14ac:dyDescent="0.3">
      <c r="A5" s="5">
        <v>45293</v>
      </c>
      <c r="B5" s="9" t="s">
        <v>10</v>
      </c>
      <c r="C5" s="9" t="s">
        <v>14</v>
      </c>
      <c r="D5" s="9" t="s">
        <v>20</v>
      </c>
      <c r="E5" s="7">
        <v>7</v>
      </c>
      <c r="F5" s="11">
        <v>1180.5</v>
      </c>
      <c r="G5" s="11">
        <v>8263.5</v>
      </c>
      <c r="H5" s="11">
        <v>1019.07</v>
      </c>
      <c r="I5" s="11" t="str">
        <f>TEXT(SalesData[[#This Row],[Date]],"dddd")</f>
        <v>Tuesday</v>
      </c>
      <c r="J5" s="11" t="str">
        <f>TEXT(SalesData[[#This Row],[Date]],"mmm")</f>
        <v>Jan</v>
      </c>
      <c r="K5" s="20">
        <f>MONTH(SalesData[[#This Row],[Date]])</f>
        <v>1</v>
      </c>
    </row>
    <row r="6" spans="1:11" x14ac:dyDescent="0.3">
      <c r="A6" s="5">
        <v>45293</v>
      </c>
      <c r="B6" s="9" t="s">
        <v>9</v>
      </c>
      <c r="C6" s="9" t="s">
        <v>14</v>
      </c>
      <c r="D6" s="9" t="s">
        <v>21</v>
      </c>
      <c r="E6" s="7">
        <v>7</v>
      </c>
      <c r="F6" s="11">
        <v>693.43</v>
      </c>
      <c r="G6" s="11">
        <v>4854.01</v>
      </c>
      <c r="H6" s="11">
        <v>1102.46</v>
      </c>
      <c r="I6" s="11" t="str">
        <f>TEXT(SalesData[[#This Row],[Date]],"dddd")</f>
        <v>Tuesday</v>
      </c>
      <c r="J6" s="11" t="str">
        <f>TEXT(SalesData[[#This Row],[Date]],"mmm")</f>
        <v>Jan</v>
      </c>
      <c r="K6" s="20">
        <f>MONTH(SalesData[[#This Row],[Date]])</f>
        <v>1</v>
      </c>
    </row>
    <row r="7" spans="1:11" x14ac:dyDescent="0.3">
      <c r="A7" s="5">
        <v>45293</v>
      </c>
      <c r="B7" s="9" t="s">
        <v>11</v>
      </c>
      <c r="C7" s="9" t="s">
        <v>15</v>
      </c>
      <c r="D7" s="9" t="s">
        <v>22</v>
      </c>
      <c r="E7" s="7">
        <v>8</v>
      </c>
      <c r="F7" s="11">
        <v>1572.46</v>
      </c>
      <c r="G7" s="11">
        <v>12579.68</v>
      </c>
      <c r="H7" s="11">
        <v>3094.19</v>
      </c>
      <c r="I7" s="11" t="str">
        <f>TEXT(SalesData[[#This Row],[Date]],"dddd")</f>
        <v>Tuesday</v>
      </c>
      <c r="J7" s="11" t="str">
        <f>TEXT(SalesData[[#This Row],[Date]],"mmm")</f>
        <v>Jan</v>
      </c>
      <c r="K7" s="20">
        <f>MONTH(SalesData[[#This Row],[Date]])</f>
        <v>1</v>
      </c>
    </row>
    <row r="8" spans="1:11" x14ac:dyDescent="0.3">
      <c r="A8" s="5">
        <v>45294</v>
      </c>
      <c r="B8" s="9" t="s">
        <v>8</v>
      </c>
      <c r="C8" s="9" t="s">
        <v>15</v>
      </c>
      <c r="D8" s="9" t="s">
        <v>23</v>
      </c>
      <c r="E8" s="7">
        <v>10</v>
      </c>
      <c r="F8" s="11">
        <v>884.58</v>
      </c>
      <c r="G8" s="11">
        <v>8845.7999999999993</v>
      </c>
      <c r="H8" s="11">
        <v>976.87</v>
      </c>
      <c r="I8" s="11" t="str">
        <f>TEXT(SalesData[[#This Row],[Date]],"dddd")</f>
        <v>Wednesday</v>
      </c>
      <c r="J8" s="11" t="str">
        <f>TEXT(SalesData[[#This Row],[Date]],"mmm")</f>
        <v>Jan</v>
      </c>
      <c r="K8" s="20">
        <f>MONTH(SalesData[[#This Row],[Date]])</f>
        <v>1</v>
      </c>
    </row>
    <row r="9" spans="1:11" x14ac:dyDescent="0.3">
      <c r="A9" s="5">
        <v>45295</v>
      </c>
      <c r="B9" s="9" t="s">
        <v>11</v>
      </c>
      <c r="C9" s="9" t="s">
        <v>15</v>
      </c>
      <c r="D9" s="9" t="s">
        <v>22</v>
      </c>
      <c r="E9" s="7">
        <v>4</v>
      </c>
      <c r="F9" s="11">
        <v>2232.9699999999998</v>
      </c>
      <c r="G9" s="11">
        <v>8931.8799999999992</v>
      </c>
      <c r="H9" s="11">
        <v>1402.47</v>
      </c>
      <c r="I9" s="11" t="str">
        <f>TEXT(SalesData[[#This Row],[Date]],"dddd")</f>
        <v>Thursday</v>
      </c>
      <c r="J9" s="11" t="str">
        <f>TEXT(SalesData[[#This Row],[Date]],"mmm")</f>
        <v>Jan</v>
      </c>
      <c r="K9" s="20">
        <f>MONTH(SalesData[[#This Row],[Date]])</f>
        <v>1</v>
      </c>
    </row>
    <row r="10" spans="1:11" x14ac:dyDescent="0.3">
      <c r="A10" s="5">
        <v>45295</v>
      </c>
      <c r="B10" s="9" t="s">
        <v>8</v>
      </c>
      <c r="C10" s="9" t="s">
        <v>15</v>
      </c>
      <c r="D10" s="9" t="s">
        <v>24</v>
      </c>
      <c r="E10" s="7">
        <v>6</v>
      </c>
      <c r="F10" s="11">
        <v>1210.54</v>
      </c>
      <c r="G10" s="11">
        <v>7263.24</v>
      </c>
      <c r="H10" s="11">
        <v>1456.47</v>
      </c>
      <c r="I10" s="11" t="str">
        <f>TEXT(SalesData[[#This Row],[Date]],"dddd")</f>
        <v>Thursday</v>
      </c>
      <c r="J10" s="11" t="str">
        <f>TEXT(SalesData[[#This Row],[Date]],"mmm")</f>
        <v>Jan</v>
      </c>
      <c r="K10" s="20">
        <f>MONTH(SalesData[[#This Row],[Date]])</f>
        <v>1</v>
      </c>
    </row>
    <row r="11" spans="1:11" x14ac:dyDescent="0.3">
      <c r="A11" s="5">
        <v>45296</v>
      </c>
      <c r="B11" s="9" t="s">
        <v>8</v>
      </c>
      <c r="C11" s="9" t="s">
        <v>16</v>
      </c>
      <c r="D11" s="9" t="s">
        <v>25</v>
      </c>
      <c r="E11" s="7">
        <v>4</v>
      </c>
      <c r="F11" s="11">
        <v>826.8</v>
      </c>
      <c r="G11" s="11">
        <v>3307.2</v>
      </c>
      <c r="H11" s="11">
        <v>518.96</v>
      </c>
      <c r="I11" s="11" t="str">
        <f>TEXT(SalesData[[#This Row],[Date]],"dddd")</f>
        <v>Friday</v>
      </c>
      <c r="J11" s="11" t="str">
        <f>TEXT(SalesData[[#This Row],[Date]],"mmm")</f>
        <v>Jan</v>
      </c>
      <c r="K11" s="20">
        <f>MONTH(SalesData[[#This Row],[Date]])</f>
        <v>1</v>
      </c>
    </row>
    <row r="12" spans="1:11" x14ac:dyDescent="0.3">
      <c r="A12" s="5">
        <v>45297</v>
      </c>
      <c r="B12" s="9" t="s">
        <v>12</v>
      </c>
      <c r="C12" s="9" t="s">
        <v>16</v>
      </c>
      <c r="D12" s="9" t="s">
        <v>25</v>
      </c>
      <c r="E12" s="7">
        <v>6</v>
      </c>
      <c r="F12" s="11">
        <v>2185.6999999999998</v>
      </c>
      <c r="G12" s="11">
        <v>13114.2</v>
      </c>
      <c r="H12" s="11">
        <v>2837.91</v>
      </c>
      <c r="I12" s="11" t="str">
        <f>TEXT(SalesData[[#This Row],[Date]],"dddd")</f>
        <v>Saturday</v>
      </c>
      <c r="J12" s="11" t="str">
        <f>TEXT(SalesData[[#This Row],[Date]],"mmm")</f>
        <v>Jan</v>
      </c>
      <c r="K12" s="20">
        <f>MONTH(SalesData[[#This Row],[Date]])</f>
        <v>1</v>
      </c>
    </row>
    <row r="13" spans="1:11" x14ac:dyDescent="0.3">
      <c r="A13" s="5">
        <v>45297</v>
      </c>
      <c r="B13" s="9" t="s">
        <v>9</v>
      </c>
      <c r="C13" s="9" t="s">
        <v>14</v>
      </c>
      <c r="D13" s="9" t="s">
        <v>18</v>
      </c>
      <c r="E13" s="7">
        <v>7</v>
      </c>
      <c r="F13" s="11">
        <v>1035.48</v>
      </c>
      <c r="G13" s="11">
        <v>7248.36</v>
      </c>
      <c r="H13" s="11">
        <v>954.23</v>
      </c>
      <c r="I13" s="11" t="str">
        <f>TEXT(SalesData[[#This Row],[Date]],"dddd")</f>
        <v>Saturday</v>
      </c>
      <c r="J13" s="11" t="str">
        <f>TEXT(SalesData[[#This Row],[Date]],"mmm")</f>
        <v>Jan</v>
      </c>
      <c r="K13" s="20">
        <f>MONTH(SalesData[[#This Row],[Date]])</f>
        <v>1</v>
      </c>
    </row>
    <row r="14" spans="1:11" x14ac:dyDescent="0.3">
      <c r="A14" s="5">
        <v>45297</v>
      </c>
      <c r="B14" s="9" t="s">
        <v>11</v>
      </c>
      <c r="C14" s="9" t="s">
        <v>15</v>
      </c>
      <c r="D14" s="9" t="s">
        <v>24</v>
      </c>
      <c r="E14" s="7">
        <v>8</v>
      </c>
      <c r="F14" s="11">
        <v>1291.26</v>
      </c>
      <c r="G14" s="11">
        <v>10330.08</v>
      </c>
      <c r="H14" s="11">
        <v>2450.11</v>
      </c>
      <c r="I14" s="11" t="str">
        <f>TEXT(SalesData[[#This Row],[Date]],"dddd")</f>
        <v>Saturday</v>
      </c>
      <c r="J14" s="11" t="str">
        <f>TEXT(SalesData[[#This Row],[Date]],"mmm")</f>
        <v>Jan</v>
      </c>
      <c r="K14" s="20">
        <f>MONTH(SalesData[[#This Row],[Date]])</f>
        <v>1</v>
      </c>
    </row>
    <row r="15" spans="1:11" x14ac:dyDescent="0.3">
      <c r="A15" s="5">
        <v>45297</v>
      </c>
      <c r="B15" s="9" t="s">
        <v>10</v>
      </c>
      <c r="C15" s="9" t="s">
        <v>16</v>
      </c>
      <c r="D15" s="9" t="s">
        <v>26</v>
      </c>
      <c r="E15" s="7">
        <v>3</v>
      </c>
      <c r="F15" s="11">
        <v>993.26</v>
      </c>
      <c r="G15" s="11">
        <v>2979.78</v>
      </c>
      <c r="H15" s="11">
        <v>548.89</v>
      </c>
      <c r="I15" s="11" t="str">
        <f>TEXT(SalesData[[#This Row],[Date]],"dddd")</f>
        <v>Saturday</v>
      </c>
      <c r="J15" s="11" t="str">
        <f>TEXT(SalesData[[#This Row],[Date]],"mmm")</f>
        <v>Jan</v>
      </c>
      <c r="K15" s="20">
        <f>MONTH(SalesData[[#This Row],[Date]])</f>
        <v>1</v>
      </c>
    </row>
    <row r="16" spans="1:11" x14ac:dyDescent="0.3">
      <c r="A16" s="5">
        <v>45297</v>
      </c>
      <c r="B16" s="9" t="s">
        <v>9</v>
      </c>
      <c r="C16" s="9" t="s">
        <v>17</v>
      </c>
      <c r="D16" s="9" t="s">
        <v>27</v>
      </c>
      <c r="E16" s="7">
        <v>6</v>
      </c>
      <c r="F16" s="11">
        <v>938.64</v>
      </c>
      <c r="G16" s="11">
        <v>5631.84</v>
      </c>
      <c r="H16" s="11">
        <v>1405.88</v>
      </c>
      <c r="I16" s="11" t="str">
        <f>TEXT(SalesData[[#This Row],[Date]],"dddd")</f>
        <v>Saturday</v>
      </c>
      <c r="J16" s="11" t="str">
        <f>TEXT(SalesData[[#This Row],[Date]],"mmm")</f>
        <v>Jan</v>
      </c>
      <c r="K16" s="20">
        <f>MONTH(SalesData[[#This Row],[Date]])</f>
        <v>1</v>
      </c>
    </row>
    <row r="17" spans="1:11" x14ac:dyDescent="0.3">
      <c r="A17" s="5">
        <v>45298</v>
      </c>
      <c r="B17" s="9" t="s">
        <v>8</v>
      </c>
      <c r="C17" s="9" t="s">
        <v>14</v>
      </c>
      <c r="D17" s="9" t="s">
        <v>21</v>
      </c>
      <c r="E17" s="7">
        <v>2</v>
      </c>
      <c r="F17" s="11">
        <v>805.68</v>
      </c>
      <c r="G17" s="11">
        <v>1611.36</v>
      </c>
      <c r="H17" s="11">
        <v>199.8</v>
      </c>
      <c r="I17" s="11" t="str">
        <f>TEXT(SalesData[[#This Row],[Date]],"dddd")</f>
        <v>Sunday</v>
      </c>
      <c r="J17" s="11" t="str">
        <f>TEXT(SalesData[[#This Row],[Date]],"mmm")</f>
        <v>Jan</v>
      </c>
      <c r="K17" s="20">
        <f>MONTH(SalesData[[#This Row],[Date]])</f>
        <v>1</v>
      </c>
    </row>
    <row r="18" spans="1:11" x14ac:dyDescent="0.3">
      <c r="A18" s="5">
        <v>45298</v>
      </c>
      <c r="B18" s="9" t="s">
        <v>9</v>
      </c>
      <c r="C18" s="9" t="s">
        <v>17</v>
      </c>
      <c r="D18" s="9" t="s">
        <v>28</v>
      </c>
      <c r="E18" s="7">
        <v>7</v>
      </c>
      <c r="F18" s="11">
        <v>1263.24</v>
      </c>
      <c r="G18" s="11">
        <v>8842.68</v>
      </c>
      <c r="H18" s="11">
        <v>2205.5300000000002</v>
      </c>
      <c r="I18" s="11" t="str">
        <f>TEXT(SalesData[[#This Row],[Date]],"dddd")</f>
        <v>Sunday</v>
      </c>
      <c r="J18" s="11" t="str">
        <f>TEXT(SalesData[[#This Row],[Date]],"mmm")</f>
        <v>Jan</v>
      </c>
      <c r="K18" s="20">
        <f>MONTH(SalesData[[#This Row],[Date]])</f>
        <v>1</v>
      </c>
    </row>
    <row r="19" spans="1:11" x14ac:dyDescent="0.3">
      <c r="A19" s="5">
        <v>45298</v>
      </c>
      <c r="B19" s="9" t="s">
        <v>10</v>
      </c>
      <c r="C19" s="9" t="s">
        <v>15</v>
      </c>
      <c r="D19" s="9" t="s">
        <v>22</v>
      </c>
      <c r="E19" s="7">
        <v>2</v>
      </c>
      <c r="F19" s="11">
        <v>1863.42</v>
      </c>
      <c r="G19" s="11">
        <v>3726.84</v>
      </c>
      <c r="H19" s="11">
        <v>672.86</v>
      </c>
      <c r="I19" s="11" t="str">
        <f>TEXT(SalesData[[#This Row],[Date]],"dddd")</f>
        <v>Sunday</v>
      </c>
      <c r="J19" s="11" t="str">
        <f>TEXT(SalesData[[#This Row],[Date]],"mmm")</f>
        <v>Jan</v>
      </c>
      <c r="K19" s="20">
        <f>MONTH(SalesData[[#This Row],[Date]])</f>
        <v>1</v>
      </c>
    </row>
    <row r="20" spans="1:11" x14ac:dyDescent="0.3">
      <c r="A20" s="5">
        <v>45298</v>
      </c>
      <c r="B20" s="9" t="s">
        <v>8</v>
      </c>
      <c r="C20" s="9" t="s">
        <v>15</v>
      </c>
      <c r="D20" s="9" t="s">
        <v>22</v>
      </c>
      <c r="E20" s="7">
        <v>5</v>
      </c>
      <c r="F20" s="11">
        <v>1369.53</v>
      </c>
      <c r="G20" s="11">
        <v>6847.65</v>
      </c>
      <c r="H20" s="11">
        <v>1150.81</v>
      </c>
      <c r="I20" s="11" t="str">
        <f>TEXT(SalesData[[#This Row],[Date]],"dddd")</f>
        <v>Sunday</v>
      </c>
      <c r="J20" s="11" t="str">
        <f>TEXT(SalesData[[#This Row],[Date]],"mmm")</f>
        <v>Jan</v>
      </c>
      <c r="K20" s="20">
        <f>MONTH(SalesData[[#This Row],[Date]])</f>
        <v>1</v>
      </c>
    </row>
    <row r="21" spans="1:11" x14ac:dyDescent="0.3">
      <c r="A21" s="5">
        <v>45299</v>
      </c>
      <c r="B21" s="9" t="s">
        <v>8</v>
      </c>
      <c r="C21" s="9" t="s">
        <v>16</v>
      </c>
      <c r="D21" s="9" t="s">
        <v>25</v>
      </c>
      <c r="E21" s="7">
        <v>2</v>
      </c>
      <c r="F21" s="11">
        <v>2241.04</v>
      </c>
      <c r="G21" s="11">
        <v>4482.08</v>
      </c>
      <c r="H21" s="11">
        <v>648.86</v>
      </c>
      <c r="I21" s="11" t="str">
        <f>TEXT(SalesData[[#This Row],[Date]],"dddd")</f>
        <v>Monday</v>
      </c>
      <c r="J21" s="11" t="str">
        <f>TEXT(SalesData[[#This Row],[Date]],"mmm")</f>
        <v>Jan</v>
      </c>
      <c r="K21" s="20">
        <f>MONTH(SalesData[[#This Row],[Date]])</f>
        <v>1</v>
      </c>
    </row>
    <row r="22" spans="1:11" x14ac:dyDescent="0.3">
      <c r="A22" s="5">
        <v>45299</v>
      </c>
      <c r="B22" s="9" t="s">
        <v>9</v>
      </c>
      <c r="C22" s="9" t="s">
        <v>16</v>
      </c>
      <c r="D22" s="9" t="s">
        <v>29</v>
      </c>
      <c r="E22" s="7">
        <v>6</v>
      </c>
      <c r="F22" s="11">
        <v>2025.02</v>
      </c>
      <c r="G22" s="11">
        <v>12150.12</v>
      </c>
      <c r="H22" s="11">
        <v>2198.04</v>
      </c>
      <c r="I22" s="11" t="str">
        <f>TEXT(SalesData[[#This Row],[Date]],"dddd")</f>
        <v>Monday</v>
      </c>
      <c r="J22" s="11" t="str">
        <f>TEXT(SalesData[[#This Row],[Date]],"mmm")</f>
        <v>Jan</v>
      </c>
      <c r="K22" s="20">
        <f>MONTH(SalesData[[#This Row],[Date]])</f>
        <v>1</v>
      </c>
    </row>
    <row r="23" spans="1:11" x14ac:dyDescent="0.3">
      <c r="A23" s="5">
        <v>45299</v>
      </c>
      <c r="B23" s="9" t="s">
        <v>10</v>
      </c>
      <c r="C23" s="9" t="s">
        <v>14</v>
      </c>
      <c r="D23" s="9" t="s">
        <v>18</v>
      </c>
      <c r="E23" s="7">
        <v>8</v>
      </c>
      <c r="F23" s="11">
        <v>538.95000000000005</v>
      </c>
      <c r="G23" s="11">
        <v>4311.6000000000004</v>
      </c>
      <c r="H23" s="11">
        <v>1032.05</v>
      </c>
      <c r="I23" s="11" t="str">
        <f>TEXT(SalesData[[#This Row],[Date]],"dddd")</f>
        <v>Monday</v>
      </c>
      <c r="J23" s="11" t="str">
        <f>TEXT(SalesData[[#This Row],[Date]],"mmm")</f>
        <v>Jan</v>
      </c>
      <c r="K23" s="20">
        <f>MONTH(SalesData[[#This Row],[Date]])</f>
        <v>1</v>
      </c>
    </row>
    <row r="24" spans="1:11" x14ac:dyDescent="0.3">
      <c r="A24" s="5">
        <v>45300</v>
      </c>
      <c r="B24" s="9" t="s">
        <v>11</v>
      </c>
      <c r="C24" s="9" t="s">
        <v>14</v>
      </c>
      <c r="D24" s="9" t="s">
        <v>20</v>
      </c>
      <c r="E24" s="7">
        <v>10</v>
      </c>
      <c r="F24" s="11">
        <v>2393.9</v>
      </c>
      <c r="G24" s="11">
        <v>23939</v>
      </c>
      <c r="H24" s="11">
        <v>2701.47</v>
      </c>
      <c r="I24" s="11" t="str">
        <f>TEXT(SalesData[[#This Row],[Date]],"dddd")</f>
        <v>Tuesday</v>
      </c>
      <c r="J24" s="11" t="str">
        <f>TEXT(SalesData[[#This Row],[Date]],"mmm")</f>
        <v>Jan</v>
      </c>
      <c r="K24" s="20">
        <f>MONTH(SalesData[[#This Row],[Date]])</f>
        <v>1</v>
      </c>
    </row>
    <row r="25" spans="1:11" x14ac:dyDescent="0.3">
      <c r="A25" s="5">
        <v>45300</v>
      </c>
      <c r="B25" s="9" t="s">
        <v>12</v>
      </c>
      <c r="C25" s="9" t="s">
        <v>14</v>
      </c>
      <c r="D25" s="9" t="s">
        <v>20</v>
      </c>
      <c r="E25" s="7">
        <v>3</v>
      </c>
      <c r="F25" s="11">
        <v>1819.5</v>
      </c>
      <c r="G25" s="11">
        <v>5458.5</v>
      </c>
      <c r="H25" s="11">
        <v>1321.11</v>
      </c>
      <c r="I25" s="11" t="str">
        <f>TEXT(SalesData[[#This Row],[Date]],"dddd")</f>
        <v>Tuesday</v>
      </c>
      <c r="J25" s="11" t="str">
        <f>TEXT(SalesData[[#This Row],[Date]],"mmm")</f>
        <v>Jan</v>
      </c>
      <c r="K25" s="20">
        <f>MONTH(SalesData[[#This Row],[Date]])</f>
        <v>1</v>
      </c>
    </row>
    <row r="26" spans="1:11" x14ac:dyDescent="0.3">
      <c r="A26" s="5">
        <v>45301</v>
      </c>
      <c r="B26" s="9" t="s">
        <v>8</v>
      </c>
      <c r="C26" s="9" t="s">
        <v>17</v>
      </c>
      <c r="D26" s="9" t="s">
        <v>28</v>
      </c>
      <c r="E26" s="7">
        <v>9</v>
      </c>
      <c r="F26" s="11">
        <v>2010.53</v>
      </c>
      <c r="G26" s="11">
        <v>18094.77</v>
      </c>
      <c r="H26" s="11">
        <v>3681.93</v>
      </c>
      <c r="I26" s="11" t="str">
        <f>TEXT(SalesData[[#This Row],[Date]],"dddd")</f>
        <v>Wednesday</v>
      </c>
      <c r="J26" s="11" t="str">
        <f>TEXT(SalesData[[#This Row],[Date]],"mmm")</f>
        <v>Jan</v>
      </c>
      <c r="K26" s="20">
        <f>MONTH(SalesData[[#This Row],[Date]])</f>
        <v>1</v>
      </c>
    </row>
    <row r="27" spans="1:11" x14ac:dyDescent="0.3">
      <c r="A27" s="5">
        <v>45301</v>
      </c>
      <c r="B27" s="9" t="s">
        <v>13</v>
      </c>
      <c r="C27" s="9" t="s">
        <v>15</v>
      </c>
      <c r="D27" s="9" t="s">
        <v>30</v>
      </c>
      <c r="E27" s="7">
        <v>6</v>
      </c>
      <c r="F27" s="11">
        <v>1376.2</v>
      </c>
      <c r="G27" s="11">
        <v>8257.2000000000007</v>
      </c>
      <c r="H27" s="11">
        <v>1466.78</v>
      </c>
      <c r="I27" s="11" t="str">
        <f>TEXT(SalesData[[#This Row],[Date]],"dddd")</f>
        <v>Wednesday</v>
      </c>
      <c r="J27" s="11" t="str">
        <f>TEXT(SalesData[[#This Row],[Date]],"mmm")</f>
        <v>Jan</v>
      </c>
      <c r="K27" s="20">
        <f>MONTH(SalesData[[#This Row],[Date]])</f>
        <v>1</v>
      </c>
    </row>
    <row r="28" spans="1:11" x14ac:dyDescent="0.3">
      <c r="A28" s="5">
        <v>45301</v>
      </c>
      <c r="B28" s="9" t="s">
        <v>12</v>
      </c>
      <c r="C28" s="9" t="s">
        <v>16</v>
      </c>
      <c r="D28" s="9" t="s">
        <v>29</v>
      </c>
      <c r="E28" s="7">
        <v>2</v>
      </c>
      <c r="F28" s="11">
        <v>1176.17</v>
      </c>
      <c r="G28" s="11">
        <v>2352.34</v>
      </c>
      <c r="H28" s="11">
        <v>442.82</v>
      </c>
      <c r="I28" s="11" t="str">
        <f>TEXT(SalesData[[#This Row],[Date]],"dddd")</f>
        <v>Wednesday</v>
      </c>
      <c r="J28" s="11" t="str">
        <f>TEXT(SalesData[[#This Row],[Date]],"mmm")</f>
        <v>Jan</v>
      </c>
      <c r="K28" s="20">
        <f>MONTH(SalesData[[#This Row],[Date]])</f>
        <v>1</v>
      </c>
    </row>
    <row r="29" spans="1:11" x14ac:dyDescent="0.3">
      <c r="A29" s="5">
        <v>45302</v>
      </c>
      <c r="B29" s="9" t="s">
        <v>13</v>
      </c>
      <c r="C29" s="9" t="s">
        <v>16</v>
      </c>
      <c r="D29" s="9" t="s">
        <v>29</v>
      </c>
      <c r="E29" s="7">
        <v>2</v>
      </c>
      <c r="F29" s="11">
        <v>1915.68</v>
      </c>
      <c r="G29" s="11">
        <v>3831.36</v>
      </c>
      <c r="H29" s="11">
        <v>416.97</v>
      </c>
      <c r="I29" s="11" t="str">
        <f>TEXT(SalesData[[#This Row],[Date]],"dddd")</f>
        <v>Thursday</v>
      </c>
      <c r="J29" s="11" t="str">
        <f>TEXT(SalesData[[#This Row],[Date]],"mmm")</f>
        <v>Jan</v>
      </c>
      <c r="K29" s="20">
        <f>MONTH(SalesData[[#This Row],[Date]])</f>
        <v>1</v>
      </c>
    </row>
    <row r="30" spans="1:11" x14ac:dyDescent="0.3">
      <c r="A30" s="5">
        <v>45302</v>
      </c>
      <c r="B30" s="9" t="s">
        <v>11</v>
      </c>
      <c r="C30" s="9" t="s">
        <v>14</v>
      </c>
      <c r="D30" s="9" t="s">
        <v>18</v>
      </c>
      <c r="E30" s="7">
        <v>2</v>
      </c>
      <c r="F30" s="11">
        <v>1528.31</v>
      </c>
      <c r="G30" s="11">
        <v>3056.62</v>
      </c>
      <c r="H30" s="11">
        <v>433.34</v>
      </c>
      <c r="I30" s="11" t="str">
        <f>TEXT(SalesData[[#This Row],[Date]],"dddd")</f>
        <v>Thursday</v>
      </c>
      <c r="J30" s="11" t="str">
        <f>TEXT(SalesData[[#This Row],[Date]],"mmm")</f>
        <v>Jan</v>
      </c>
      <c r="K30" s="20">
        <f>MONTH(SalesData[[#This Row],[Date]])</f>
        <v>1</v>
      </c>
    </row>
    <row r="31" spans="1:11" x14ac:dyDescent="0.3">
      <c r="A31" s="5">
        <v>45302</v>
      </c>
      <c r="B31" s="9" t="s">
        <v>9</v>
      </c>
      <c r="C31" s="9" t="s">
        <v>16</v>
      </c>
      <c r="D31" s="9" t="s">
        <v>25</v>
      </c>
      <c r="E31" s="7">
        <v>3</v>
      </c>
      <c r="F31" s="11">
        <v>1946.71</v>
      </c>
      <c r="G31" s="11">
        <v>5840.13</v>
      </c>
      <c r="H31" s="11">
        <v>1357</v>
      </c>
      <c r="I31" s="11" t="str">
        <f>TEXT(SalesData[[#This Row],[Date]],"dddd")</f>
        <v>Thursday</v>
      </c>
      <c r="J31" s="11" t="str">
        <f>TEXT(SalesData[[#This Row],[Date]],"mmm")</f>
        <v>Jan</v>
      </c>
      <c r="K31" s="20">
        <f>MONTH(SalesData[[#This Row],[Date]])</f>
        <v>1</v>
      </c>
    </row>
    <row r="32" spans="1:11" x14ac:dyDescent="0.3">
      <c r="A32" s="5">
        <v>45302</v>
      </c>
      <c r="B32" s="9" t="s">
        <v>13</v>
      </c>
      <c r="C32" s="9" t="s">
        <v>17</v>
      </c>
      <c r="D32" s="9" t="s">
        <v>28</v>
      </c>
      <c r="E32" s="7">
        <v>8</v>
      </c>
      <c r="F32" s="11">
        <v>2114.9899999999998</v>
      </c>
      <c r="G32" s="11">
        <v>16919.919999999998</v>
      </c>
      <c r="H32" s="11">
        <v>2175.25</v>
      </c>
      <c r="I32" s="11" t="str">
        <f>TEXT(SalesData[[#This Row],[Date]],"dddd")</f>
        <v>Thursday</v>
      </c>
      <c r="J32" s="11" t="str">
        <f>TEXT(SalesData[[#This Row],[Date]],"mmm")</f>
        <v>Jan</v>
      </c>
      <c r="K32" s="20">
        <f>MONTH(SalesData[[#This Row],[Date]])</f>
        <v>1</v>
      </c>
    </row>
    <row r="33" spans="1:11" x14ac:dyDescent="0.3">
      <c r="A33" s="5">
        <v>45302</v>
      </c>
      <c r="B33" s="9" t="s">
        <v>13</v>
      </c>
      <c r="C33" s="9" t="s">
        <v>17</v>
      </c>
      <c r="D33" s="9" t="s">
        <v>27</v>
      </c>
      <c r="E33" s="7">
        <v>7</v>
      </c>
      <c r="F33" s="11">
        <v>1322.2</v>
      </c>
      <c r="G33" s="11">
        <v>9255.4</v>
      </c>
      <c r="H33" s="11">
        <v>2124.81</v>
      </c>
      <c r="I33" s="11" t="str">
        <f>TEXT(SalesData[[#This Row],[Date]],"dddd")</f>
        <v>Thursday</v>
      </c>
      <c r="J33" s="11" t="str">
        <f>TEXT(SalesData[[#This Row],[Date]],"mmm")</f>
        <v>Jan</v>
      </c>
      <c r="K33" s="20">
        <f>MONTH(SalesData[[#This Row],[Date]])</f>
        <v>1</v>
      </c>
    </row>
    <row r="34" spans="1:11" x14ac:dyDescent="0.3">
      <c r="A34" s="5">
        <v>45303</v>
      </c>
      <c r="B34" s="9" t="s">
        <v>12</v>
      </c>
      <c r="C34" s="9" t="s">
        <v>14</v>
      </c>
      <c r="D34" s="9" t="s">
        <v>19</v>
      </c>
      <c r="E34" s="7">
        <v>6</v>
      </c>
      <c r="F34" s="11">
        <v>2101.19</v>
      </c>
      <c r="G34" s="11">
        <v>12607.14</v>
      </c>
      <c r="H34" s="11">
        <v>1467.35</v>
      </c>
      <c r="I34" s="11" t="str">
        <f>TEXT(SalesData[[#This Row],[Date]],"dddd")</f>
        <v>Friday</v>
      </c>
      <c r="J34" s="11" t="str">
        <f>TEXT(SalesData[[#This Row],[Date]],"mmm")</f>
        <v>Jan</v>
      </c>
      <c r="K34" s="20">
        <f>MONTH(SalesData[[#This Row],[Date]])</f>
        <v>1</v>
      </c>
    </row>
    <row r="35" spans="1:11" x14ac:dyDescent="0.3">
      <c r="A35" s="5">
        <v>45304</v>
      </c>
      <c r="B35" s="9" t="s">
        <v>13</v>
      </c>
      <c r="C35" s="9" t="s">
        <v>17</v>
      </c>
      <c r="D35" s="9" t="s">
        <v>28</v>
      </c>
      <c r="E35" s="7">
        <v>7</v>
      </c>
      <c r="F35" s="11">
        <v>866.98</v>
      </c>
      <c r="G35" s="11">
        <v>6068.86</v>
      </c>
      <c r="H35" s="11">
        <v>1028.03</v>
      </c>
      <c r="I35" s="11" t="str">
        <f>TEXT(SalesData[[#This Row],[Date]],"dddd")</f>
        <v>Saturday</v>
      </c>
      <c r="J35" s="11" t="str">
        <f>TEXT(SalesData[[#This Row],[Date]],"mmm")</f>
        <v>Jan</v>
      </c>
      <c r="K35" s="20">
        <f>MONTH(SalesData[[#This Row],[Date]])</f>
        <v>1</v>
      </c>
    </row>
    <row r="36" spans="1:11" x14ac:dyDescent="0.3">
      <c r="A36" s="5">
        <v>45304</v>
      </c>
      <c r="B36" s="9" t="s">
        <v>13</v>
      </c>
      <c r="C36" s="9" t="s">
        <v>17</v>
      </c>
      <c r="D36" s="9" t="s">
        <v>28</v>
      </c>
      <c r="E36" s="7">
        <v>1</v>
      </c>
      <c r="F36" s="11">
        <v>1804.29</v>
      </c>
      <c r="G36" s="11">
        <v>1804.29</v>
      </c>
      <c r="H36" s="11">
        <v>326.74</v>
      </c>
      <c r="I36" s="11" t="str">
        <f>TEXT(SalesData[[#This Row],[Date]],"dddd")</f>
        <v>Saturday</v>
      </c>
      <c r="J36" s="11" t="str">
        <f>TEXT(SalesData[[#This Row],[Date]],"mmm")</f>
        <v>Jan</v>
      </c>
      <c r="K36" s="20">
        <f>MONTH(SalesData[[#This Row],[Date]])</f>
        <v>1</v>
      </c>
    </row>
    <row r="37" spans="1:11" x14ac:dyDescent="0.3">
      <c r="A37" s="5">
        <v>45305</v>
      </c>
      <c r="B37" s="9" t="s">
        <v>11</v>
      </c>
      <c r="C37" s="9" t="s">
        <v>16</v>
      </c>
      <c r="D37" s="9" t="s">
        <v>29</v>
      </c>
      <c r="E37" s="7">
        <v>7</v>
      </c>
      <c r="F37" s="11">
        <v>1471.28</v>
      </c>
      <c r="G37" s="11">
        <v>10298.959999999999</v>
      </c>
      <c r="H37" s="11">
        <v>1360.1</v>
      </c>
      <c r="I37" s="11" t="str">
        <f>TEXT(SalesData[[#This Row],[Date]],"dddd")</f>
        <v>Sunday</v>
      </c>
      <c r="J37" s="11" t="str">
        <f>TEXT(SalesData[[#This Row],[Date]],"mmm")</f>
        <v>Jan</v>
      </c>
      <c r="K37" s="20">
        <f>MONTH(SalesData[[#This Row],[Date]])</f>
        <v>1</v>
      </c>
    </row>
    <row r="38" spans="1:11" x14ac:dyDescent="0.3">
      <c r="A38" s="5">
        <v>45306</v>
      </c>
      <c r="B38" s="9" t="s">
        <v>11</v>
      </c>
      <c r="C38" s="9" t="s">
        <v>16</v>
      </c>
      <c r="D38" s="9" t="s">
        <v>26</v>
      </c>
      <c r="E38" s="7">
        <v>1</v>
      </c>
      <c r="F38" s="11">
        <v>2470.62</v>
      </c>
      <c r="G38" s="11">
        <v>2470.62</v>
      </c>
      <c r="H38" s="11">
        <v>345.34</v>
      </c>
      <c r="I38" s="11" t="str">
        <f>TEXT(SalesData[[#This Row],[Date]],"dddd")</f>
        <v>Monday</v>
      </c>
      <c r="J38" s="11" t="str">
        <f>TEXT(SalesData[[#This Row],[Date]],"mmm")</f>
        <v>Jan</v>
      </c>
      <c r="K38" s="20">
        <f>MONTH(SalesData[[#This Row],[Date]])</f>
        <v>1</v>
      </c>
    </row>
    <row r="39" spans="1:11" x14ac:dyDescent="0.3">
      <c r="A39" s="5">
        <v>45307</v>
      </c>
      <c r="B39" s="9" t="s">
        <v>13</v>
      </c>
      <c r="C39" s="9" t="s">
        <v>17</v>
      </c>
      <c r="D39" s="9" t="s">
        <v>27</v>
      </c>
      <c r="E39" s="7">
        <v>3</v>
      </c>
      <c r="F39" s="11">
        <v>879.8</v>
      </c>
      <c r="G39" s="11">
        <v>2639.4</v>
      </c>
      <c r="H39" s="11">
        <v>350.13</v>
      </c>
      <c r="I39" s="11" t="str">
        <f>TEXT(SalesData[[#This Row],[Date]],"dddd")</f>
        <v>Tuesday</v>
      </c>
      <c r="J39" s="11" t="str">
        <f>TEXT(SalesData[[#This Row],[Date]],"mmm")</f>
        <v>Jan</v>
      </c>
      <c r="K39" s="20">
        <f>MONTH(SalesData[[#This Row],[Date]])</f>
        <v>1</v>
      </c>
    </row>
    <row r="40" spans="1:11" x14ac:dyDescent="0.3">
      <c r="A40" s="5">
        <v>45307</v>
      </c>
      <c r="B40" s="9" t="s">
        <v>9</v>
      </c>
      <c r="C40" s="9" t="s">
        <v>14</v>
      </c>
      <c r="D40" s="9" t="s">
        <v>18</v>
      </c>
      <c r="E40" s="7">
        <v>1</v>
      </c>
      <c r="F40" s="11">
        <v>600.28</v>
      </c>
      <c r="G40" s="11">
        <v>600.28</v>
      </c>
      <c r="H40" s="11">
        <v>102.96</v>
      </c>
      <c r="I40" s="11" t="str">
        <f>TEXT(SalesData[[#This Row],[Date]],"dddd")</f>
        <v>Tuesday</v>
      </c>
      <c r="J40" s="11" t="str">
        <f>TEXT(SalesData[[#This Row],[Date]],"mmm")</f>
        <v>Jan</v>
      </c>
      <c r="K40" s="20">
        <f>MONTH(SalesData[[#This Row],[Date]])</f>
        <v>1</v>
      </c>
    </row>
    <row r="41" spans="1:11" x14ac:dyDescent="0.3">
      <c r="A41" s="5">
        <v>45307</v>
      </c>
      <c r="B41" s="9" t="s">
        <v>9</v>
      </c>
      <c r="C41" s="9" t="s">
        <v>16</v>
      </c>
      <c r="D41" s="9" t="s">
        <v>29</v>
      </c>
      <c r="E41" s="7">
        <v>9</v>
      </c>
      <c r="F41" s="11">
        <v>660.22</v>
      </c>
      <c r="G41" s="11">
        <v>5941.98</v>
      </c>
      <c r="H41" s="11">
        <v>759.82</v>
      </c>
      <c r="I41" s="11" t="str">
        <f>TEXT(SalesData[[#This Row],[Date]],"dddd")</f>
        <v>Tuesday</v>
      </c>
      <c r="J41" s="11" t="str">
        <f>TEXT(SalesData[[#This Row],[Date]],"mmm")</f>
        <v>Jan</v>
      </c>
      <c r="K41" s="20">
        <f>MONTH(SalesData[[#This Row],[Date]])</f>
        <v>1</v>
      </c>
    </row>
    <row r="42" spans="1:11" x14ac:dyDescent="0.3">
      <c r="A42" s="5">
        <v>45308</v>
      </c>
      <c r="B42" s="9" t="s">
        <v>9</v>
      </c>
      <c r="C42" s="9" t="s">
        <v>16</v>
      </c>
      <c r="D42" s="9" t="s">
        <v>26</v>
      </c>
      <c r="E42" s="7">
        <v>2</v>
      </c>
      <c r="F42" s="11">
        <v>2383.19</v>
      </c>
      <c r="G42" s="11">
        <v>4766.38</v>
      </c>
      <c r="H42" s="11">
        <v>883.93</v>
      </c>
      <c r="I42" s="11" t="str">
        <f>TEXT(SalesData[[#This Row],[Date]],"dddd")</f>
        <v>Wednesday</v>
      </c>
      <c r="J42" s="11" t="str">
        <f>TEXT(SalesData[[#This Row],[Date]],"mmm")</f>
        <v>Jan</v>
      </c>
      <c r="K42" s="20">
        <f>MONTH(SalesData[[#This Row],[Date]])</f>
        <v>1</v>
      </c>
    </row>
    <row r="43" spans="1:11" x14ac:dyDescent="0.3">
      <c r="A43" s="5">
        <v>45309</v>
      </c>
      <c r="B43" s="9" t="s">
        <v>10</v>
      </c>
      <c r="C43" s="9" t="s">
        <v>14</v>
      </c>
      <c r="D43" s="9" t="s">
        <v>21</v>
      </c>
      <c r="E43" s="7">
        <v>7</v>
      </c>
      <c r="F43" s="11">
        <v>1814.75</v>
      </c>
      <c r="G43" s="11">
        <v>12703.25</v>
      </c>
      <c r="H43" s="11">
        <v>2347.36</v>
      </c>
      <c r="I43" s="11" t="str">
        <f>TEXT(SalesData[[#This Row],[Date]],"dddd")</f>
        <v>Thursday</v>
      </c>
      <c r="J43" s="11" t="str">
        <f>TEXT(SalesData[[#This Row],[Date]],"mmm")</f>
        <v>Jan</v>
      </c>
      <c r="K43" s="20">
        <f>MONTH(SalesData[[#This Row],[Date]])</f>
        <v>1</v>
      </c>
    </row>
    <row r="44" spans="1:11" x14ac:dyDescent="0.3">
      <c r="A44" s="5">
        <v>45309</v>
      </c>
      <c r="B44" s="9" t="s">
        <v>8</v>
      </c>
      <c r="C44" s="9" t="s">
        <v>15</v>
      </c>
      <c r="D44" s="9" t="s">
        <v>24</v>
      </c>
      <c r="E44" s="7">
        <v>6</v>
      </c>
      <c r="F44" s="11">
        <v>977.37</v>
      </c>
      <c r="G44" s="11">
        <v>5864.22</v>
      </c>
      <c r="H44" s="11">
        <v>934.57</v>
      </c>
      <c r="I44" s="11" t="str">
        <f>TEXT(SalesData[[#This Row],[Date]],"dddd")</f>
        <v>Thursday</v>
      </c>
      <c r="J44" s="11" t="str">
        <f>TEXT(SalesData[[#This Row],[Date]],"mmm")</f>
        <v>Jan</v>
      </c>
      <c r="K44" s="20">
        <f>MONTH(SalesData[[#This Row],[Date]])</f>
        <v>1</v>
      </c>
    </row>
    <row r="45" spans="1:11" x14ac:dyDescent="0.3">
      <c r="A45" s="5">
        <v>45309</v>
      </c>
      <c r="B45" s="9" t="s">
        <v>13</v>
      </c>
      <c r="C45" s="9" t="s">
        <v>15</v>
      </c>
      <c r="D45" s="9" t="s">
        <v>30</v>
      </c>
      <c r="E45" s="7">
        <v>6</v>
      </c>
      <c r="F45" s="11">
        <v>2358.04</v>
      </c>
      <c r="G45" s="11">
        <v>14148.24</v>
      </c>
      <c r="H45" s="11">
        <v>3400.67</v>
      </c>
      <c r="I45" s="11" t="str">
        <f>TEXT(SalesData[[#This Row],[Date]],"dddd")</f>
        <v>Thursday</v>
      </c>
      <c r="J45" s="11" t="str">
        <f>TEXT(SalesData[[#This Row],[Date]],"mmm")</f>
        <v>Jan</v>
      </c>
      <c r="K45" s="20">
        <f>MONTH(SalesData[[#This Row],[Date]])</f>
        <v>1</v>
      </c>
    </row>
    <row r="46" spans="1:11" x14ac:dyDescent="0.3">
      <c r="A46" s="5">
        <v>45309</v>
      </c>
      <c r="B46" s="9" t="s">
        <v>12</v>
      </c>
      <c r="C46" s="9" t="s">
        <v>17</v>
      </c>
      <c r="D46" s="9" t="s">
        <v>28</v>
      </c>
      <c r="E46" s="7">
        <v>2</v>
      </c>
      <c r="F46" s="11">
        <v>1575.27</v>
      </c>
      <c r="G46" s="11">
        <v>3150.54</v>
      </c>
      <c r="H46" s="11">
        <v>554.13</v>
      </c>
      <c r="I46" s="11" t="str">
        <f>TEXT(SalesData[[#This Row],[Date]],"dddd")</f>
        <v>Thursday</v>
      </c>
      <c r="J46" s="11" t="str">
        <f>TEXT(SalesData[[#This Row],[Date]],"mmm")</f>
        <v>Jan</v>
      </c>
      <c r="K46" s="20">
        <f>MONTH(SalesData[[#This Row],[Date]])</f>
        <v>1</v>
      </c>
    </row>
    <row r="47" spans="1:11" x14ac:dyDescent="0.3">
      <c r="A47" s="5">
        <v>45309</v>
      </c>
      <c r="B47" s="9" t="s">
        <v>9</v>
      </c>
      <c r="C47" s="9" t="s">
        <v>15</v>
      </c>
      <c r="D47" s="9" t="s">
        <v>22</v>
      </c>
      <c r="E47" s="7">
        <v>4</v>
      </c>
      <c r="F47" s="11">
        <v>1239.05</v>
      </c>
      <c r="G47" s="11">
        <v>4956.2</v>
      </c>
      <c r="H47" s="11">
        <v>612.89</v>
      </c>
      <c r="I47" s="11" t="str">
        <f>TEXT(SalesData[[#This Row],[Date]],"dddd")</f>
        <v>Thursday</v>
      </c>
      <c r="J47" s="11" t="str">
        <f>TEXT(SalesData[[#This Row],[Date]],"mmm")</f>
        <v>Jan</v>
      </c>
      <c r="K47" s="20">
        <f>MONTH(SalesData[[#This Row],[Date]])</f>
        <v>1</v>
      </c>
    </row>
    <row r="48" spans="1:11" x14ac:dyDescent="0.3">
      <c r="A48" s="5">
        <v>45310</v>
      </c>
      <c r="B48" s="9" t="s">
        <v>13</v>
      </c>
      <c r="C48" s="9" t="s">
        <v>14</v>
      </c>
      <c r="D48" s="9" t="s">
        <v>18</v>
      </c>
      <c r="E48" s="7">
        <v>2</v>
      </c>
      <c r="F48" s="11">
        <v>2377.86</v>
      </c>
      <c r="G48" s="11">
        <v>4755.72</v>
      </c>
      <c r="H48" s="11">
        <v>571.37</v>
      </c>
      <c r="I48" s="11" t="str">
        <f>TEXT(SalesData[[#This Row],[Date]],"dddd")</f>
        <v>Friday</v>
      </c>
      <c r="J48" s="11" t="str">
        <f>TEXT(SalesData[[#This Row],[Date]],"mmm")</f>
        <v>Jan</v>
      </c>
      <c r="K48" s="20">
        <f>MONTH(SalesData[[#This Row],[Date]])</f>
        <v>1</v>
      </c>
    </row>
    <row r="49" spans="1:11" x14ac:dyDescent="0.3">
      <c r="A49" s="5">
        <v>45310</v>
      </c>
      <c r="B49" s="9" t="s">
        <v>10</v>
      </c>
      <c r="C49" s="9" t="s">
        <v>14</v>
      </c>
      <c r="D49" s="9" t="s">
        <v>20</v>
      </c>
      <c r="E49" s="7">
        <v>5</v>
      </c>
      <c r="F49" s="11">
        <v>1063.51</v>
      </c>
      <c r="G49" s="11">
        <v>5317.55</v>
      </c>
      <c r="H49" s="11">
        <v>699.76</v>
      </c>
      <c r="I49" s="11" t="str">
        <f>TEXT(SalesData[[#This Row],[Date]],"dddd")</f>
        <v>Friday</v>
      </c>
      <c r="J49" s="11" t="str">
        <f>TEXT(SalesData[[#This Row],[Date]],"mmm")</f>
        <v>Jan</v>
      </c>
      <c r="K49" s="20">
        <f>MONTH(SalesData[[#This Row],[Date]])</f>
        <v>1</v>
      </c>
    </row>
    <row r="50" spans="1:11" x14ac:dyDescent="0.3">
      <c r="A50" s="5">
        <v>45310</v>
      </c>
      <c r="B50" s="9" t="s">
        <v>13</v>
      </c>
      <c r="C50" s="9" t="s">
        <v>16</v>
      </c>
      <c r="D50" s="9" t="s">
        <v>25</v>
      </c>
      <c r="E50" s="7">
        <v>5</v>
      </c>
      <c r="F50" s="11">
        <v>1510.82</v>
      </c>
      <c r="G50" s="11">
        <v>7554.1</v>
      </c>
      <c r="H50" s="11">
        <v>1039.96</v>
      </c>
      <c r="I50" s="11" t="str">
        <f>TEXT(SalesData[[#This Row],[Date]],"dddd")</f>
        <v>Friday</v>
      </c>
      <c r="J50" s="11" t="str">
        <f>TEXT(SalesData[[#This Row],[Date]],"mmm")</f>
        <v>Jan</v>
      </c>
      <c r="K50" s="20">
        <f>MONTH(SalesData[[#This Row],[Date]])</f>
        <v>1</v>
      </c>
    </row>
    <row r="51" spans="1:11" x14ac:dyDescent="0.3">
      <c r="A51" s="5">
        <v>45311</v>
      </c>
      <c r="B51" s="9" t="s">
        <v>8</v>
      </c>
      <c r="C51" s="9" t="s">
        <v>17</v>
      </c>
      <c r="D51" s="9" t="s">
        <v>27</v>
      </c>
      <c r="E51" s="7">
        <v>1</v>
      </c>
      <c r="F51" s="11">
        <v>507.09</v>
      </c>
      <c r="G51" s="11">
        <v>507.09</v>
      </c>
      <c r="H51" s="11">
        <v>109.36</v>
      </c>
      <c r="I51" s="11" t="str">
        <f>TEXT(SalesData[[#This Row],[Date]],"dddd")</f>
        <v>Saturday</v>
      </c>
      <c r="J51" s="11" t="str">
        <f>TEXT(SalesData[[#This Row],[Date]],"mmm")</f>
        <v>Jan</v>
      </c>
      <c r="K51" s="20">
        <f>MONTH(SalesData[[#This Row],[Date]])</f>
        <v>1</v>
      </c>
    </row>
    <row r="52" spans="1:11" x14ac:dyDescent="0.3">
      <c r="A52" s="5">
        <v>45312</v>
      </c>
      <c r="B52" s="9" t="s">
        <v>13</v>
      </c>
      <c r="C52" s="9" t="s">
        <v>16</v>
      </c>
      <c r="D52" s="9" t="s">
        <v>25</v>
      </c>
      <c r="E52" s="7">
        <v>8</v>
      </c>
      <c r="F52" s="11">
        <v>1603.36</v>
      </c>
      <c r="G52" s="11">
        <v>12826.88</v>
      </c>
      <c r="H52" s="11">
        <v>2105.5700000000002</v>
      </c>
      <c r="I52" s="11" t="str">
        <f>TEXT(SalesData[[#This Row],[Date]],"dddd")</f>
        <v>Sunday</v>
      </c>
      <c r="J52" s="11" t="str">
        <f>TEXT(SalesData[[#This Row],[Date]],"mmm")</f>
        <v>Jan</v>
      </c>
      <c r="K52" s="20">
        <f>MONTH(SalesData[[#This Row],[Date]])</f>
        <v>1</v>
      </c>
    </row>
    <row r="53" spans="1:11" x14ac:dyDescent="0.3">
      <c r="A53" s="5">
        <v>45312</v>
      </c>
      <c r="B53" s="9" t="s">
        <v>9</v>
      </c>
      <c r="C53" s="9" t="s">
        <v>14</v>
      </c>
      <c r="D53" s="9" t="s">
        <v>21</v>
      </c>
      <c r="E53" s="7">
        <v>3</v>
      </c>
      <c r="F53" s="11">
        <v>1591.18</v>
      </c>
      <c r="G53" s="11">
        <v>4773.54</v>
      </c>
      <c r="H53" s="11">
        <v>1074.95</v>
      </c>
      <c r="I53" s="11" t="str">
        <f>TEXT(SalesData[[#This Row],[Date]],"dddd")</f>
        <v>Sunday</v>
      </c>
      <c r="J53" s="11" t="str">
        <f>TEXT(SalesData[[#This Row],[Date]],"mmm")</f>
        <v>Jan</v>
      </c>
      <c r="K53" s="20">
        <f>MONTH(SalesData[[#This Row],[Date]])</f>
        <v>1</v>
      </c>
    </row>
    <row r="54" spans="1:11" x14ac:dyDescent="0.3">
      <c r="A54" s="5">
        <v>45312</v>
      </c>
      <c r="B54" s="9" t="s">
        <v>13</v>
      </c>
      <c r="C54" s="9" t="s">
        <v>16</v>
      </c>
      <c r="D54" s="9" t="s">
        <v>26</v>
      </c>
      <c r="E54" s="7">
        <v>3</v>
      </c>
      <c r="F54" s="11">
        <v>583.66</v>
      </c>
      <c r="G54" s="11">
        <v>1750.98</v>
      </c>
      <c r="H54" s="11">
        <v>270.87</v>
      </c>
      <c r="I54" s="11" t="str">
        <f>TEXT(SalesData[[#This Row],[Date]],"dddd")</f>
        <v>Sunday</v>
      </c>
      <c r="J54" s="11" t="str">
        <f>TEXT(SalesData[[#This Row],[Date]],"mmm")</f>
        <v>Jan</v>
      </c>
      <c r="K54" s="20">
        <f>MONTH(SalesData[[#This Row],[Date]])</f>
        <v>1</v>
      </c>
    </row>
    <row r="55" spans="1:11" x14ac:dyDescent="0.3">
      <c r="A55" s="5">
        <v>45313</v>
      </c>
      <c r="B55" s="9" t="s">
        <v>9</v>
      </c>
      <c r="C55" s="9" t="s">
        <v>16</v>
      </c>
      <c r="D55" s="9" t="s">
        <v>25</v>
      </c>
      <c r="E55" s="7">
        <v>4</v>
      </c>
      <c r="F55" s="11">
        <v>1833.87</v>
      </c>
      <c r="G55" s="11">
        <v>7335.48</v>
      </c>
      <c r="H55" s="11">
        <v>1122.71</v>
      </c>
      <c r="I55" s="11" t="str">
        <f>TEXT(SalesData[[#This Row],[Date]],"dddd")</f>
        <v>Monday</v>
      </c>
      <c r="J55" s="11" t="str">
        <f>TEXT(SalesData[[#This Row],[Date]],"mmm")</f>
        <v>Jan</v>
      </c>
      <c r="K55" s="20">
        <f>MONTH(SalesData[[#This Row],[Date]])</f>
        <v>1</v>
      </c>
    </row>
    <row r="56" spans="1:11" x14ac:dyDescent="0.3">
      <c r="A56" s="5">
        <v>45313</v>
      </c>
      <c r="B56" s="9" t="s">
        <v>12</v>
      </c>
      <c r="C56" s="9" t="s">
        <v>17</v>
      </c>
      <c r="D56" s="9" t="s">
        <v>28</v>
      </c>
      <c r="E56" s="7">
        <v>4</v>
      </c>
      <c r="F56" s="11">
        <v>2229.21</v>
      </c>
      <c r="G56" s="11">
        <v>8916.84</v>
      </c>
      <c r="H56" s="11">
        <v>2197.38</v>
      </c>
      <c r="I56" s="11" t="str">
        <f>TEXT(SalesData[[#This Row],[Date]],"dddd")</f>
        <v>Monday</v>
      </c>
      <c r="J56" s="11" t="str">
        <f>TEXT(SalesData[[#This Row],[Date]],"mmm")</f>
        <v>Jan</v>
      </c>
      <c r="K56" s="20">
        <f>MONTH(SalesData[[#This Row],[Date]])</f>
        <v>1</v>
      </c>
    </row>
    <row r="57" spans="1:11" x14ac:dyDescent="0.3">
      <c r="A57" s="5">
        <v>45313</v>
      </c>
      <c r="B57" s="9" t="s">
        <v>11</v>
      </c>
      <c r="C57" s="9" t="s">
        <v>17</v>
      </c>
      <c r="D57" s="9" t="s">
        <v>28</v>
      </c>
      <c r="E57" s="7">
        <v>3</v>
      </c>
      <c r="F57" s="11">
        <v>1973.13</v>
      </c>
      <c r="G57" s="11">
        <v>5919.39</v>
      </c>
      <c r="H57" s="11">
        <v>886.89</v>
      </c>
      <c r="I57" s="11" t="str">
        <f>TEXT(SalesData[[#This Row],[Date]],"dddd")</f>
        <v>Monday</v>
      </c>
      <c r="J57" s="11" t="str">
        <f>TEXT(SalesData[[#This Row],[Date]],"mmm")</f>
        <v>Jan</v>
      </c>
      <c r="K57" s="20">
        <f>MONTH(SalesData[[#This Row],[Date]])</f>
        <v>1</v>
      </c>
    </row>
    <row r="58" spans="1:11" x14ac:dyDescent="0.3">
      <c r="A58" s="5">
        <v>45314</v>
      </c>
      <c r="B58" s="9" t="s">
        <v>11</v>
      </c>
      <c r="C58" s="9" t="s">
        <v>15</v>
      </c>
      <c r="D58" s="9" t="s">
        <v>24</v>
      </c>
      <c r="E58" s="7">
        <v>2</v>
      </c>
      <c r="F58" s="11">
        <v>1265.08</v>
      </c>
      <c r="G58" s="11">
        <v>2530.16</v>
      </c>
      <c r="H58" s="11">
        <v>267.70999999999998</v>
      </c>
      <c r="I58" s="11" t="str">
        <f>TEXT(SalesData[[#This Row],[Date]],"dddd")</f>
        <v>Tuesday</v>
      </c>
      <c r="J58" s="11" t="str">
        <f>TEXT(SalesData[[#This Row],[Date]],"mmm")</f>
        <v>Jan</v>
      </c>
      <c r="K58" s="20">
        <f>MONTH(SalesData[[#This Row],[Date]])</f>
        <v>1</v>
      </c>
    </row>
    <row r="59" spans="1:11" x14ac:dyDescent="0.3">
      <c r="A59" s="5">
        <v>45314</v>
      </c>
      <c r="B59" s="9" t="s">
        <v>12</v>
      </c>
      <c r="C59" s="9" t="s">
        <v>16</v>
      </c>
      <c r="D59" s="9" t="s">
        <v>29</v>
      </c>
      <c r="E59" s="7">
        <v>8</v>
      </c>
      <c r="F59" s="11">
        <v>1199.32</v>
      </c>
      <c r="G59" s="11">
        <v>9594.56</v>
      </c>
      <c r="H59" s="11">
        <v>2140.36</v>
      </c>
      <c r="I59" s="11" t="str">
        <f>TEXT(SalesData[[#This Row],[Date]],"dddd")</f>
        <v>Tuesday</v>
      </c>
      <c r="J59" s="11" t="str">
        <f>TEXT(SalesData[[#This Row],[Date]],"mmm")</f>
        <v>Jan</v>
      </c>
      <c r="K59" s="20">
        <f>MONTH(SalesData[[#This Row],[Date]])</f>
        <v>1</v>
      </c>
    </row>
    <row r="60" spans="1:11" x14ac:dyDescent="0.3">
      <c r="A60" s="5">
        <v>45315</v>
      </c>
      <c r="B60" s="9" t="s">
        <v>10</v>
      </c>
      <c r="C60" s="9" t="s">
        <v>14</v>
      </c>
      <c r="D60" s="9" t="s">
        <v>20</v>
      </c>
      <c r="E60" s="7">
        <v>7</v>
      </c>
      <c r="F60" s="11">
        <v>1156.52</v>
      </c>
      <c r="G60" s="11">
        <v>8095.64</v>
      </c>
      <c r="H60" s="11">
        <v>1859.19</v>
      </c>
      <c r="I60" s="11" t="str">
        <f>TEXT(SalesData[[#This Row],[Date]],"dddd")</f>
        <v>Wednesday</v>
      </c>
      <c r="J60" s="11" t="str">
        <f>TEXT(SalesData[[#This Row],[Date]],"mmm")</f>
        <v>Jan</v>
      </c>
      <c r="K60" s="20">
        <f>MONTH(SalesData[[#This Row],[Date]])</f>
        <v>1</v>
      </c>
    </row>
    <row r="61" spans="1:11" x14ac:dyDescent="0.3">
      <c r="A61" s="5">
        <v>45315</v>
      </c>
      <c r="B61" s="9" t="s">
        <v>10</v>
      </c>
      <c r="C61" s="9" t="s">
        <v>15</v>
      </c>
      <c r="D61" s="9" t="s">
        <v>30</v>
      </c>
      <c r="E61" s="7">
        <v>9</v>
      </c>
      <c r="F61" s="11">
        <v>1162.3</v>
      </c>
      <c r="G61" s="11">
        <v>10460.700000000001</v>
      </c>
      <c r="H61" s="11">
        <v>1089.3800000000001</v>
      </c>
      <c r="I61" s="11" t="str">
        <f>TEXT(SalesData[[#This Row],[Date]],"dddd")</f>
        <v>Wednesday</v>
      </c>
      <c r="J61" s="11" t="str">
        <f>TEXT(SalesData[[#This Row],[Date]],"mmm")</f>
        <v>Jan</v>
      </c>
      <c r="K61" s="20">
        <f>MONTH(SalesData[[#This Row],[Date]])</f>
        <v>1</v>
      </c>
    </row>
    <row r="62" spans="1:11" x14ac:dyDescent="0.3">
      <c r="A62" s="5">
        <v>45316</v>
      </c>
      <c r="B62" s="9" t="s">
        <v>10</v>
      </c>
      <c r="C62" s="9" t="s">
        <v>15</v>
      </c>
      <c r="D62" s="9" t="s">
        <v>22</v>
      </c>
      <c r="E62" s="7">
        <v>2</v>
      </c>
      <c r="F62" s="11">
        <v>1693.14</v>
      </c>
      <c r="G62" s="11">
        <v>3386.28</v>
      </c>
      <c r="H62" s="11">
        <v>514.22</v>
      </c>
      <c r="I62" s="11" t="str">
        <f>TEXT(SalesData[[#This Row],[Date]],"dddd")</f>
        <v>Thursday</v>
      </c>
      <c r="J62" s="11" t="str">
        <f>TEXT(SalesData[[#This Row],[Date]],"mmm")</f>
        <v>Jan</v>
      </c>
      <c r="K62" s="20">
        <f>MONTH(SalesData[[#This Row],[Date]])</f>
        <v>1</v>
      </c>
    </row>
    <row r="63" spans="1:11" x14ac:dyDescent="0.3">
      <c r="A63" s="5">
        <v>45316</v>
      </c>
      <c r="B63" s="9" t="s">
        <v>13</v>
      </c>
      <c r="C63" s="9" t="s">
        <v>17</v>
      </c>
      <c r="D63" s="9" t="s">
        <v>28</v>
      </c>
      <c r="E63" s="7">
        <v>7</v>
      </c>
      <c r="F63" s="11">
        <v>2299.0100000000002</v>
      </c>
      <c r="G63" s="11">
        <v>16093.07</v>
      </c>
      <c r="H63" s="11">
        <v>2068.15</v>
      </c>
      <c r="I63" s="11" t="str">
        <f>TEXT(SalesData[[#This Row],[Date]],"dddd")</f>
        <v>Thursday</v>
      </c>
      <c r="J63" s="11" t="str">
        <f>TEXT(SalesData[[#This Row],[Date]],"mmm")</f>
        <v>Jan</v>
      </c>
      <c r="K63" s="20">
        <f>MONTH(SalesData[[#This Row],[Date]])</f>
        <v>1</v>
      </c>
    </row>
    <row r="64" spans="1:11" x14ac:dyDescent="0.3">
      <c r="A64" s="5">
        <v>45317</v>
      </c>
      <c r="B64" s="9" t="s">
        <v>10</v>
      </c>
      <c r="C64" s="9" t="s">
        <v>14</v>
      </c>
      <c r="D64" s="9" t="s">
        <v>20</v>
      </c>
      <c r="E64" s="7">
        <v>6</v>
      </c>
      <c r="F64" s="11">
        <v>1362.59</v>
      </c>
      <c r="G64" s="11">
        <v>8175.54</v>
      </c>
      <c r="H64" s="11">
        <v>1981.19</v>
      </c>
      <c r="I64" s="11" t="str">
        <f>TEXT(SalesData[[#This Row],[Date]],"dddd")</f>
        <v>Friday</v>
      </c>
      <c r="J64" s="11" t="str">
        <f>TEXT(SalesData[[#This Row],[Date]],"mmm")</f>
        <v>Jan</v>
      </c>
      <c r="K64" s="20">
        <f>MONTH(SalesData[[#This Row],[Date]])</f>
        <v>1</v>
      </c>
    </row>
    <row r="65" spans="1:11" x14ac:dyDescent="0.3">
      <c r="A65" s="5">
        <v>45317</v>
      </c>
      <c r="B65" s="9" t="s">
        <v>10</v>
      </c>
      <c r="C65" s="9" t="s">
        <v>15</v>
      </c>
      <c r="D65" s="9" t="s">
        <v>22</v>
      </c>
      <c r="E65" s="7">
        <v>5</v>
      </c>
      <c r="F65" s="11">
        <v>1514.25</v>
      </c>
      <c r="G65" s="11">
        <v>7571.25</v>
      </c>
      <c r="H65" s="11">
        <v>1514.51</v>
      </c>
      <c r="I65" s="11" t="str">
        <f>TEXT(SalesData[[#This Row],[Date]],"dddd")</f>
        <v>Friday</v>
      </c>
      <c r="J65" s="11" t="str">
        <f>TEXT(SalesData[[#This Row],[Date]],"mmm")</f>
        <v>Jan</v>
      </c>
      <c r="K65" s="20">
        <f>MONTH(SalesData[[#This Row],[Date]])</f>
        <v>1</v>
      </c>
    </row>
    <row r="66" spans="1:11" x14ac:dyDescent="0.3">
      <c r="A66" s="5">
        <v>45317</v>
      </c>
      <c r="B66" s="9" t="s">
        <v>11</v>
      </c>
      <c r="C66" s="9" t="s">
        <v>17</v>
      </c>
      <c r="D66" s="9" t="s">
        <v>27</v>
      </c>
      <c r="E66" s="7">
        <v>9</v>
      </c>
      <c r="F66" s="11">
        <v>754.58</v>
      </c>
      <c r="G66" s="11">
        <v>6791.22</v>
      </c>
      <c r="H66" s="11">
        <v>1107.42</v>
      </c>
      <c r="I66" s="11" t="str">
        <f>TEXT(SalesData[[#This Row],[Date]],"dddd")</f>
        <v>Friday</v>
      </c>
      <c r="J66" s="11" t="str">
        <f>TEXT(SalesData[[#This Row],[Date]],"mmm")</f>
        <v>Jan</v>
      </c>
      <c r="K66" s="20">
        <f>MONTH(SalesData[[#This Row],[Date]])</f>
        <v>1</v>
      </c>
    </row>
    <row r="67" spans="1:11" x14ac:dyDescent="0.3">
      <c r="A67" s="5">
        <v>45317</v>
      </c>
      <c r="B67" s="9" t="s">
        <v>13</v>
      </c>
      <c r="C67" s="9" t="s">
        <v>16</v>
      </c>
      <c r="D67" s="9" t="s">
        <v>25</v>
      </c>
      <c r="E67" s="7">
        <v>10</v>
      </c>
      <c r="F67" s="11">
        <v>1101.9000000000001</v>
      </c>
      <c r="G67" s="11">
        <v>11019</v>
      </c>
      <c r="H67" s="11">
        <v>2007.56</v>
      </c>
      <c r="I67" s="11" t="str">
        <f>TEXT(SalesData[[#This Row],[Date]],"dddd")</f>
        <v>Friday</v>
      </c>
      <c r="J67" s="11" t="str">
        <f>TEXT(SalesData[[#This Row],[Date]],"mmm")</f>
        <v>Jan</v>
      </c>
      <c r="K67" s="20">
        <f>MONTH(SalesData[[#This Row],[Date]])</f>
        <v>1</v>
      </c>
    </row>
    <row r="68" spans="1:11" x14ac:dyDescent="0.3">
      <c r="A68" s="5">
        <v>45318</v>
      </c>
      <c r="B68" s="9" t="s">
        <v>10</v>
      </c>
      <c r="C68" s="9" t="s">
        <v>15</v>
      </c>
      <c r="D68" s="9" t="s">
        <v>24</v>
      </c>
      <c r="E68" s="7">
        <v>7</v>
      </c>
      <c r="F68" s="11">
        <v>2071.52</v>
      </c>
      <c r="G68" s="11">
        <v>14500.64</v>
      </c>
      <c r="H68" s="11">
        <v>2769.61</v>
      </c>
      <c r="I68" s="11" t="str">
        <f>TEXT(SalesData[[#This Row],[Date]],"dddd")</f>
        <v>Saturday</v>
      </c>
      <c r="J68" s="11" t="str">
        <f>TEXT(SalesData[[#This Row],[Date]],"mmm")</f>
        <v>Jan</v>
      </c>
      <c r="K68" s="20">
        <f>MONTH(SalesData[[#This Row],[Date]])</f>
        <v>1</v>
      </c>
    </row>
    <row r="69" spans="1:11" x14ac:dyDescent="0.3">
      <c r="A69" s="5">
        <v>45318</v>
      </c>
      <c r="B69" s="9" t="s">
        <v>8</v>
      </c>
      <c r="C69" s="9" t="s">
        <v>17</v>
      </c>
      <c r="D69" s="9" t="s">
        <v>27</v>
      </c>
      <c r="E69" s="7">
        <v>8</v>
      </c>
      <c r="F69" s="11">
        <v>1851.25</v>
      </c>
      <c r="G69" s="11">
        <v>14810</v>
      </c>
      <c r="H69" s="11">
        <v>2616.5700000000002</v>
      </c>
      <c r="I69" s="11" t="str">
        <f>TEXT(SalesData[[#This Row],[Date]],"dddd")</f>
        <v>Saturday</v>
      </c>
      <c r="J69" s="11" t="str">
        <f>TEXT(SalesData[[#This Row],[Date]],"mmm")</f>
        <v>Jan</v>
      </c>
      <c r="K69" s="20">
        <f>MONTH(SalesData[[#This Row],[Date]])</f>
        <v>1</v>
      </c>
    </row>
    <row r="70" spans="1:11" x14ac:dyDescent="0.3">
      <c r="A70" s="5">
        <v>45318</v>
      </c>
      <c r="B70" s="9" t="s">
        <v>9</v>
      </c>
      <c r="C70" s="9" t="s">
        <v>16</v>
      </c>
      <c r="D70" s="9" t="s">
        <v>25</v>
      </c>
      <c r="E70" s="7">
        <v>2</v>
      </c>
      <c r="F70" s="11">
        <v>1067.57</v>
      </c>
      <c r="G70" s="11">
        <v>2135.14</v>
      </c>
      <c r="H70" s="11">
        <v>426.13</v>
      </c>
      <c r="I70" s="11" t="str">
        <f>TEXT(SalesData[[#This Row],[Date]],"dddd")</f>
        <v>Saturday</v>
      </c>
      <c r="J70" s="11" t="str">
        <f>TEXT(SalesData[[#This Row],[Date]],"mmm")</f>
        <v>Jan</v>
      </c>
      <c r="K70" s="20">
        <f>MONTH(SalesData[[#This Row],[Date]])</f>
        <v>1</v>
      </c>
    </row>
    <row r="71" spans="1:11" x14ac:dyDescent="0.3">
      <c r="A71" s="5">
        <v>45319</v>
      </c>
      <c r="B71" s="9" t="s">
        <v>13</v>
      </c>
      <c r="C71" s="9" t="s">
        <v>14</v>
      </c>
      <c r="D71" s="9" t="s">
        <v>20</v>
      </c>
      <c r="E71" s="7">
        <v>5</v>
      </c>
      <c r="F71" s="11">
        <v>949.28</v>
      </c>
      <c r="G71" s="11">
        <v>4746.3999999999996</v>
      </c>
      <c r="H71" s="11">
        <v>616.41</v>
      </c>
      <c r="I71" s="11" t="str">
        <f>TEXT(SalesData[[#This Row],[Date]],"dddd")</f>
        <v>Sunday</v>
      </c>
      <c r="J71" s="11" t="str">
        <f>TEXT(SalesData[[#This Row],[Date]],"mmm")</f>
        <v>Jan</v>
      </c>
      <c r="K71" s="20">
        <f>MONTH(SalesData[[#This Row],[Date]])</f>
        <v>1</v>
      </c>
    </row>
    <row r="72" spans="1:11" x14ac:dyDescent="0.3">
      <c r="A72" s="5">
        <v>45319</v>
      </c>
      <c r="B72" s="9" t="s">
        <v>11</v>
      </c>
      <c r="C72" s="9" t="s">
        <v>14</v>
      </c>
      <c r="D72" s="9" t="s">
        <v>20</v>
      </c>
      <c r="E72" s="7">
        <v>8</v>
      </c>
      <c r="F72" s="11">
        <v>1722.55</v>
      </c>
      <c r="G72" s="11">
        <v>13780.4</v>
      </c>
      <c r="H72" s="11">
        <v>2966.55</v>
      </c>
      <c r="I72" s="11" t="str">
        <f>TEXT(SalesData[[#This Row],[Date]],"dddd")</f>
        <v>Sunday</v>
      </c>
      <c r="J72" s="11" t="str">
        <f>TEXT(SalesData[[#This Row],[Date]],"mmm")</f>
        <v>Jan</v>
      </c>
      <c r="K72" s="20">
        <f>MONTH(SalesData[[#This Row],[Date]])</f>
        <v>1</v>
      </c>
    </row>
    <row r="73" spans="1:11" x14ac:dyDescent="0.3">
      <c r="A73" s="5">
        <v>45319</v>
      </c>
      <c r="B73" s="9" t="s">
        <v>8</v>
      </c>
      <c r="C73" s="9" t="s">
        <v>17</v>
      </c>
      <c r="D73" s="9" t="s">
        <v>28</v>
      </c>
      <c r="E73" s="7">
        <v>7</v>
      </c>
      <c r="F73" s="11">
        <v>1488.75</v>
      </c>
      <c r="G73" s="11">
        <v>10421.25</v>
      </c>
      <c r="H73" s="11">
        <v>1423.52</v>
      </c>
      <c r="I73" s="11" t="str">
        <f>TEXT(SalesData[[#This Row],[Date]],"dddd")</f>
        <v>Sunday</v>
      </c>
      <c r="J73" s="11" t="str">
        <f>TEXT(SalesData[[#This Row],[Date]],"mmm")</f>
        <v>Jan</v>
      </c>
      <c r="K73" s="20">
        <f>MONTH(SalesData[[#This Row],[Date]])</f>
        <v>1</v>
      </c>
    </row>
    <row r="74" spans="1:11" x14ac:dyDescent="0.3">
      <c r="A74" s="5">
        <v>45320</v>
      </c>
      <c r="B74" s="9" t="s">
        <v>9</v>
      </c>
      <c r="C74" s="9" t="s">
        <v>14</v>
      </c>
      <c r="D74" s="9" t="s">
        <v>19</v>
      </c>
      <c r="E74" s="7">
        <v>4</v>
      </c>
      <c r="F74" s="11">
        <v>851.77</v>
      </c>
      <c r="G74" s="11">
        <v>3407.08</v>
      </c>
      <c r="H74" s="11">
        <v>830.29</v>
      </c>
      <c r="I74" s="11" t="str">
        <f>TEXT(SalesData[[#This Row],[Date]],"dddd")</f>
        <v>Monday</v>
      </c>
      <c r="J74" s="11" t="str">
        <f>TEXT(SalesData[[#This Row],[Date]],"mmm")</f>
        <v>Jan</v>
      </c>
      <c r="K74" s="20">
        <f>MONTH(SalesData[[#This Row],[Date]])</f>
        <v>1</v>
      </c>
    </row>
    <row r="75" spans="1:11" x14ac:dyDescent="0.3">
      <c r="A75" s="5">
        <v>45321</v>
      </c>
      <c r="B75" s="9" t="s">
        <v>8</v>
      </c>
      <c r="C75" s="9" t="s">
        <v>14</v>
      </c>
      <c r="D75" s="9" t="s">
        <v>20</v>
      </c>
      <c r="E75" s="7">
        <v>2</v>
      </c>
      <c r="F75" s="11">
        <v>1412.92</v>
      </c>
      <c r="G75" s="11">
        <v>2825.84</v>
      </c>
      <c r="H75" s="11">
        <v>622.29</v>
      </c>
      <c r="I75" s="11" t="str">
        <f>TEXT(SalesData[[#This Row],[Date]],"dddd")</f>
        <v>Tuesday</v>
      </c>
      <c r="J75" s="11" t="str">
        <f>TEXT(SalesData[[#This Row],[Date]],"mmm")</f>
        <v>Jan</v>
      </c>
      <c r="K75" s="20">
        <f>MONTH(SalesData[[#This Row],[Date]])</f>
        <v>1</v>
      </c>
    </row>
    <row r="76" spans="1:11" x14ac:dyDescent="0.3">
      <c r="A76" s="5">
        <v>45321</v>
      </c>
      <c r="B76" s="9" t="s">
        <v>11</v>
      </c>
      <c r="C76" s="9" t="s">
        <v>15</v>
      </c>
      <c r="D76" s="9" t="s">
        <v>30</v>
      </c>
      <c r="E76" s="7">
        <v>10</v>
      </c>
      <c r="F76" s="11">
        <v>2130.0100000000002</v>
      </c>
      <c r="G76" s="11">
        <v>21300.1</v>
      </c>
      <c r="H76" s="11">
        <v>4980.03</v>
      </c>
      <c r="I76" s="11" t="str">
        <f>TEXT(SalesData[[#This Row],[Date]],"dddd")</f>
        <v>Tuesday</v>
      </c>
      <c r="J76" s="11" t="str">
        <f>TEXT(SalesData[[#This Row],[Date]],"mmm")</f>
        <v>Jan</v>
      </c>
      <c r="K76" s="20">
        <f>MONTH(SalesData[[#This Row],[Date]])</f>
        <v>1</v>
      </c>
    </row>
    <row r="77" spans="1:11" x14ac:dyDescent="0.3">
      <c r="A77" s="5">
        <v>45321</v>
      </c>
      <c r="B77" s="9" t="s">
        <v>8</v>
      </c>
      <c r="C77" s="9" t="s">
        <v>17</v>
      </c>
      <c r="D77" s="9" t="s">
        <v>28</v>
      </c>
      <c r="E77" s="7">
        <v>8</v>
      </c>
      <c r="F77" s="11">
        <v>1400.14</v>
      </c>
      <c r="G77" s="11">
        <v>11201.12</v>
      </c>
      <c r="H77" s="11">
        <v>2383.2199999999998</v>
      </c>
      <c r="I77" s="11" t="str">
        <f>TEXT(SalesData[[#This Row],[Date]],"dddd")</f>
        <v>Tuesday</v>
      </c>
      <c r="J77" s="11" t="str">
        <f>TEXT(SalesData[[#This Row],[Date]],"mmm")</f>
        <v>Jan</v>
      </c>
      <c r="K77" s="20">
        <f>MONTH(SalesData[[#This Row],[Date]])</f>
        <v>1</v>
      </c>
    </row>
    <row r="78" spans="1:11" x14ac:dyDescent="0.3">
      <c r="A78" s="5">
        <v>45321</v>
      </c>
      <c r="B78" s="9" t="s">
        <v>10</v>
      </c>
      <c r="C78" s="9" t="s">
        <v>15</v>
      </c>
      <c r="D78" s="9" t="s">
        <v>30</v>
      </c>
      <c r="E78" s="7">
        <v>4</v>
      </c>
      <c r="F78" s="11">
        <v>1049.19</v>
      </c>
      <c r="G78" s="11">
        <v>4196.76</v>
      </c>
      <c r="H78" s="11">
        <v>468.45</v>
      </c>
      <c r="I78" s="11" t="str">
        <f>TEXT(SalesData[[#This Row],[Date]],"dddd")</f>
        <v>Tuesday</v>
      </c>
      <c r="J78" s="11" t="str">
        <f>TEXT(SalesData[[#This Row],[Date]],"mmm")</f>
        <v>Jan</v>
      </c>
      <c r="K78" s="20">
        <f>MONTH(SalesData[[#This Row],[Date]])</f>
        <v>1</v>
      </c>
    </row>
    <row r="79" spans="1:11" x14ac:dyDescent="0.3">
      <c r="A79" s="5">
        <v>45322</v>
      </c>
      <c r="B79" s="9" t="s">
        <v>12</v>
      </c>
      <c r="C79" s="9" t="s">
        <v>15</v>
      </c>
      <c r="D79" s="9" t="s">
        <v>23</v>
      </c>
      <c r="E79" s="7">
        <v>6</v>
      </c>
      <c r="F79" s="11">
        <v>2286.0500000000002</v>
      </c>
      <c r="G79" s="11">
        <v>13716.3</v>
      </c>
      <c r="H79" s="11">
        <v>1537.41</v>
      </c>
      <c r="I79" s="11" t="str">
        <f>TEXT(SalesData[[#This Row],[Date]],"dddd")</f>
        <v>Wednesday</v>
      </c>
      <c r="J79" s="11" t="str">
        <f>TEXT(SalesData[[#This Row],[Date]],"mmm")</f>
        <v>Jan</v>
      </c>
      <c r="K79" s="20">
        <f>MONTH(SalesData[[#This Row],[Date]])</f>
        <v>1</v>
      </c>
    </row>
    <row r="80" spans="1:11" x14ac:dyDescent="0.3">
      <c r="A80" s="5">
        <v>45322</v>
      </c>
      <c r="B80" s="9" t="s">
        <v>11</v>
      </c>
      <c r="C80" s="9" t="s">
        <v>16</v>
      </c>
      <c r="D80" s="9" t="s">
        <v>26</v>
      </c>
      <c r="E80" s="7">
        <v>3</v>
      </c>
      <c r="F80" s="11">
        <v>1912.84</v>
      </c>
      <c r="G80" s="11">
        <v>5738.52</v>
      </c>
      <c r="H80" s="11">
        <v>629.14</v>
      </c>
      <c r="I80" s="11" t="str">
        <f>TEXT(SalesData[[#This Row],[Date]],"dddd")</f>
        <v>Wednesday</v>
      </c>
      <c r="J80" s="11" t="str">
        <f>TEXT(SalesData[[#This Row],[Date]],"mmm")</f>
        <v>Jan</v>
      </c>
      <c r="K80" s="20">
        <f>MONTH(SalesData[[#This Row],[Date]])</f>
        <v>1</v>
      </c>
    </row>
    <row r="81" spans="1:11" x14ac:dyDescent="0.3">
      <c r="A81" s="5">
        <v>45323</v>
      </c>
      <c r="B81" s="9" t="s">
        <v>9</v>
      </c>
      <c r="C81" s="9" t="s">
        <v>17</v>
      </c>
      <c r="D81" s="9" t="s">
        <v>27</v>
      </c>
      <c r="E81" s="7">
        <v>1</v>
      </c>
      <c r="F81" s="11">
        <v>913.67</v>
      </c>
      <c r="G81" s="11">
        <v>913.67</v>
      </c>
      <c r="H81" s="11">
        <v>148.94999999999999</v>
      </c>
      <c r="I81" s="11" t="str">
        <f>TEXT(SalesData[[#This Row],[Date]],"dddd")</f>
        <v>Thursday</v>
      </c>
      <c r="J81" s="11" t="str">
        <f>TEXT(SalesData[[#This Row],[Date]],"mmm")</f>
        <v>Feb</v>
      </c>
      <c r="K81" s="20">
        <f>MONTH(SalesData[[#This Row],[Date]])</f>
        <v>2</v>
      </c>
    </row>
    <row r="82" spans="1:11" x14ac:dyDescent="0.3">
      <c r="A82" s="5">
        <v>45323</v>
      </c>
      <c r="B82" s="9" t="s">
        <v>11</v>
      </c>
      <c r="C82" s="9" t="s">
        <v>14</v>
      </c>
      <c r="D82" s="9" t="s">
        <v>19</v>
      </c>
      <c r="E82" s="7">
        <v>8</v>
      </c>
      <c r="F82" s="11">
        <v>511.79</v>
      </c>
      <c r="G82" s="11">
        <v>4094.32</v>
      </c>
      <c r="H82" s="11">
        <v>625.46</v>
      </c>
      <c r="I82" s="11" t="str">
        <f>TEXT(SalesData[[#This Row],[Date]],"dddd")</f>
        <v>Thursday</v>
      </c>
      <c r="J82" s="11" t="str">
        <f>TEXT(SalesData[[#This Row],[Date]],"mmm")</f>
        <v>Feb</v>
      </c>
      <c r="K82" s="20">
        <f>MONTH(SalesData[[#This Row],[Date]])</f>
        <v>2</v>
      </c>
    </row>
    <row r="83" spans="1:11" x14ac:dyDescent="0.3">
      <c r="A83" s="5">
        <v>45323</v>
      </c>
      <c r="B83" s="9" t="s">
        <v>13</v>
      </c>
      <c r="C83" s="9" t="s">
        <v>17</v>
      </c>
      <c r="D83" s="9" t="s">
        <v>28</v>
      </c>
      <c r="E83" s="7">
        <v>8</v>
      </c>
      <c r="F83" s="11">
        <v>938.84</v>
      </c>
      <c r="G83" s="11">
        <v>7510.72</v>
      </c>
      <c r="H83" s="11">
        <v>1242.0899999999999</v>
      </c>
      <c r="I83" s="11" t="str">
        <f>TEXT(SalesData[[#This Row],[Date]],"dddd")</f>
        <v>Thursday</v>
      </c>
      <c r="J83" s="11" t="str">
        <f>TEXT(SalesData[[#This Row],[Date]],"mmm")</f>
        <v>Feb</v>
      </c>
      <c r="K83" s="20">
        <f>MONTH(SalesData[[#This Row],[Date]])</f>
        <v>2</v>
      </c>
    </row>
    <row r="84" spans="1:11" x14ac:dyDescent="0.3">
      <c r="A84" s="5">
        <v>45324</v>
      </c>
      <c r="B84" s="9" t="s">
        <v>9</v>
      </c>
      <c r="C84" s="9" t="s">
        <v>15</v>
      </c>
      <c r="D84" s="9" t="s">
        <v>30</v>
      </c>
      <c r="E84" s="7">
        <v>3</v>
      </c>
      <c r="F84" s="11">
        <v>2181.0100000000002</v>
      </c>
      <c r="G84" s="11">
        <v>6543.03</v>
      </c>
      <c r="H84" s="11">
        <v>1556.79</v>
      </c>
      <c r="I84" s="11" t="str">
        <f>TEXT(SalesData[[#This Row],[Date]],"dddd")</f>
        <v>Friday</v>
      </c>
      <c r="J84" s="11" t="str">
        <f>TEXT(SalesData[[#This Row],[Date]],"mmm")</f>
        <v>Feb</v>
      </c>
      <c r="K84" s="20">
        <f>MONTH(SalesData[[#This Row],[Date]])</f>
        <v>2</v>
      </c>
    </row>
    <row r="85" spans="1:11" x14ac:dyDescent="0.3">
      <c r="A85" s="5">
        <v>45324</v>
      </c>
      <c r="B85" s="9" t="s">
        <v>8</v>
      </c>
      <c r="C85" s="9" t="s">
        <v>14</v>
      </c>
      <c r="D85" s="9" t="s">
        <v>19</v>
      </c>
      <c r="E85" s="7">
        <v>10</v>
      </c>
      <c r="F85" s="11">
        <v>1628.78</v>
      </c>
      <c r="G85" s="11">
        <v>16287.8</v>
      </c>
      <c r="H85" s="11">
        <v>1694.99</v>
      </c>
      <c r="I85" s="11" t="str">
        <f>TEXT(SalesData[[#This Row],[Date]],"dddd")</f>
        <v>Friday</v>
      </c>
      <c r="J85" s="11" t="str">
        <f>TEXT(SalesData[[#This Row],[Date]],"mmm")</f>
        <v>Feb</v>
      </c>
      <c r="K85" s="20">
        <f>MONTH(SalesData[[#This Row],[Date]])</f>
        <v>2</v>
      </c>
    </row>
    <row r="86" spans="1:11" x14ac:dyDescent="0.3">
      <c r="A86" s="5">
        <v>45324</v>
      </c>
      <c r="B86" s="9" t="s">
        <v>10</v>
      </c>
      <c r="C86" s="9" t="s">
        <v>17</v>
      </c>
      <c r="D86" s="9" t="s">
        <v>28</v>
      </c>
      <c r="E86" s="7">
        <v>8</v>
      </c>
      <c r="F86" s="11">
        <v>863.46</v>
      </c>
      <c r="G86" s="11">
        <v>6907.68</v>
      </c>
      <c r="H86" s="11">
        <v>960.33</v>
      </c>
      <c r="I86" s="11" t="str">
        <f>TEXT(SalesData[[#This Row],[Date]],"dddd")</f>
        <v>Friday</v>
      </c>
      <c r="J86" s="11" t="str">
        <f>TEXT(SalesData[[#This Row],[Date]],"mmm")</f>
        <v>Feb</v>
      </c>
      <c r="K86" s="20">
        <f>MONTH(SalesData[[#This Row],[Date]])</f>
        <v>2</v>
      </c>
    </row>
    <row r="87" spans="1:11" x14ac:dyDescent="0.3">
      <c r="A87" s="5">
        <v>45324</v>
      </c>
      <c r="B87" s="9" t="s">
        <v>10</v>
      </c>
      <c r="C87" s="9" t="s">
        <v>16</v>
      </c>
      <c r="D87" s="9" t="s">
        <v>26</v>
      </c>
      <c r="E87" s="7">
        <v>6</v>
      </c>
      <c r="F87" s="11">
        <v>1175</v>
      </c>
      <c r="G87" s="11">
        <v>7050</v>
      </c>
      <c r="H87" s="11">
        <v>1635.22</v>
      </c>
      <c r="I87" s="11" t="str">
        <f>TEXT(SalesData[[#This Row],[Date]],"dddd")</f>
        <v>Friday</v>
      </c>
      <c r="J87" s="11" t="str">
        <f>TEXT(SalesData[[#This Row],[Date]],"mmm")</f>
        <v>Feb</v>
      </c>
      <c r="K87" s="20">
        <f>MONTH(SalesData[[#This Row],[Date]])</f>
        <v>2</v>
      </c>
    </row>
    <row r="88" spans="1:11" x14ac:dyDescent="0.3">
      <c r="A88" s="5">
        <v>45325</v>
      </c>
      <c r="B88" s="9" t="s">
        <v>10</v>
      </c>
      <c r="C88" s="9" t="s">
        <v>15</v>
      </c>
      <c r="D88" s="9" t="s">
        <v>22</v>
      </c>
      <c r="E88" s="7">
        <v>8</v>
      </c>
      <c r="F88" s="11">
        <v>538.77</v>
      </c>
      <c r="G88" s="11">
        <v>4310.16</v>
      </c>
      <c r="H88" s="11">
        <v>779.76</v>
      </c>
      <c r="I88" s="11" t="str">
        <f>TEXT(SalesData[[#This Row],[Date]],"dddd")</f>
        <v>Saturday</v>
      </c>
      <c r="J88" s="11" t="str">
        <f>TEXT(SalesData[[#This Row],[Date]],"mmm")</f>
        <v>Feb</v>
      </c>
      <c r="K88" s="20">
        <f>MONTH(SalesData[[#This Row],[Date]])</f>
        <v>2</v>
      </c>
    </row>
    <row r="89" spans="1:11" x14ac:dyDescent="0.3">
      <c r="A89" s="5">
        <v>45325</v>
      </c>
      <c r="B89" s="9" t="s">
        <v>13</v>
      </c>
      <c r="C89" s="9" t="s">
        <v>16</v>
      </c>
      <c r="D89" s="9" t="s">
        <v>25</v>
      </c>
      <c r="E89" s="7">
        <v>2</v>
      </c>
      <c r="F89" s="11">
        <v>2062.4699999999998</v>
      </c>
      <c r="G89" s="11">
        <v>4124.9399999999996</v>
      </c>
      <c r="H89" s="11">
        <v>815.76</v>
      </c>
      <c r="I89" s="11" t="str">
        <f>TEXT(SalesData[[#This Row],[Date]],"dddd")</f>
        <v>Saturday</v>
      </c>
      <c r="J89" s="11" t="str">
        <f>TEXT(SalesData[[#This Row],[Date]],"mmm")</f>
        <v>Feb</v>
      </c>
      <c r="K89" s="20">
        <f>MONTH(SalesData[[#This Row],[Date]])</f>
        <v>2</v>
      </c>
    </row>
    <row r="90" spans="1:11" x14ac:dyDescent="0.3">
      <c r="A90" s="5">
        <v>45325</v>
      </c>
      <c r="B90" s="9" t="s">
        <v>11</v>
      </c>
      <c r="C90" s="9" t="s">
        <v>16</v>
      </c>
      <c r="D90" s="9" t="s">
        <v>29</v>
      </c>
      <c r="E90" s="7">
        <v>1</v>
      </c>
      <c r="F90" s="11">
        <v>1742.67</v>
      </c>
      <c r="G90" s="11">
        <v>1742.67</v>
      </c>
      <c r="H90" s="11">
        <v>236.62</v>
      </c>
      <c r="I90" s="11" t="str">
        <f>TEXT(SalesData[[#This Row],[Date]],"dddd")</f>
        <v>Saturday</v>
      </c>
      <c r="J90" s="11" t="str">
        <f>TEXT(SalesData[[#This Row],[Date]],"mmm")</f>
        <v>Feb</v>
      </c>
      <c r="K90" s="20">
        <f>MONTH(SalesData[[#This Row],[Date]])</f>
        <v>2</v>
      </c>
    </row>
    <row r="91" spans="1:11" x14ac:dyDescent="0.3">
      <c r="A91" s="5">
        <v>45325</v>
      </c>
      <c r="B91" s="9" t="s">
        <v>12</v>
      </c>
      <c r="C91" s="9" t="s">
        <v>14</v>
      </c>
      <c r="D91" s="9" t="s">
        <v>20</v>
      </c>
      <c r="E91" s="7">
        <v>8</v>
      </c>
      <c r="F91" s="11">
        <v>1898.93</v>
      </c>
      <c r="G91" s="11">
        <v>15191.44</v>
      </c>
      <c r="H91" s="11">
        <v>3266.69</v>
      </c>
      <c r="I91" s="11" t="str">
        <f>TEXT(SalesData[[#This Row],[Date]],"dddd")</f>
        <v>Saturday</v>
      </c>
      <c r="J91" s="11" t="str">
        <f>TEXT(SalesData[[#This Row],[Date]],"mmm")</f>
        <v>Feb</v>
      </c>
      <c r="K91" s="20">
        <f>MONTH(SalesData[[#This Row],[Date]])</f>
        <v>2</v>
      </c>
    </row>
    <row r="92" spans="1:11" x14ac:dyDescent="0.3">
      <c r="A92" s="5">
        <v>45326</v>
      </c>
      <c r="B92" s="9" t="s">
        <v>10</v>
      </c>
      <c r="C92" s="9" t="s">
        <v>14</v>
      </c>
      <c r="D92" s="9" t="s">
        <v>20</v>
      </c>
      <c r="E92" s="7">
        <v>5</v>
      </c>
      <c r="F92" s="11">
        <v>716.2</v>
      </c>
      <c r="G92" s="11">
        <v>3581</v>
      </c>
      <c r="H92" s="11">
        <v>371.89</v>
      </c>
      <c r="I92" s="11" t="str">
        <f>TEXT(SalesData[[#This Row],[Date]],"dddd")</f>
        <v>Sunday</v>
      </c>
      <c r="J92" s="11" t="str">
        <f>TEXT(SalesData[[#This Row],[Date]],"mmm")</f>
        <v>Feb</v>
      </c>
      <c r="K92" s="20">
        <f>MONTH(SalesData[[#This Row],[Date]])</f>
        <v>2</v>
      </c>
    </row>
    <row r="93" spans="1:11" x14ac:dyDescent="0.3">
      <c r="A93" s="5">
        <v>45326</v>
      </c>
      <c r="B93" s="9" t="s">
        <v>8</v>
      </c>
      <c r="C93" s="9" t="s">
        <v>17</v>
      </c>
      <c r="D93" s="9" t="s">
        <v>27</v>
      </c>
      <c r="E93" s="7">
        <v>4</v>
      </c>
      <c r="F93" s="11">
        <v>651.99</v>
      </c>
      <c r="G93" s="11">
        <v>2607.96</v>
      </c>
      <c r="H93" s="11">
        <v>530.96</v>
      </c>
      <c r="I93" s="11" t="str">
        <f>TEXT(SalesData[[#This Row],[Date]],"dddd")</f>
        <v>Sunday</v>
      </c>
      <c r="J93" s="11" t="str">
        <f>TEXT(SalesData[[#This Row],[Date]],"mmm")</f>
        <v>Feb</v>
      </c>
      <c r="K93" s="20">
        <f>MONTH(SalesData[[#This Row],[Date]])</f>
        <v>2</v>
      </c>
    </row>
    <row r="94" spans="1:11" x14ac:dyDescent="0.3">
      <c r="A94" s="5">
        <v>45326</v>
      </c>
      <c r="B94" s="9" t="s">
        <v>13</v>
      </c>
      <c r="C94" s="9" t="s">
        <v>16</v>
      </c>
      <c r="D94" s="9" t="s">
        <v>29</v>
      </c>
      <c r="E94" s="7">
        <v>5</v>
      </c>
      <c r="F94" s="11">
        <v>2200.59</v>
      </c>
      <c r="G94" s="11">
        <v>11002.95</v>
      </c>
      <c r="H94" s="11">
        <v>2091.2399999999998</v>
      </c>
      <c r="I94" s="11" t="str">
        <f>TEXT(SalesData[[#This Row],[Date]],"dddd")</f>
        <v>Sunday</v>
      </c>
      <c r="J94" s="11" t="str">
        <f>TEXT(SalesData[[#This Row],[Date]],"mmm")</f>
        <v>Feb</v>
      </c>
      <c r="K94" s="20">
        <f>MONTH(SalesData[[#This Row],[Date]])</f>
        <v>2</v>
      </c>
    </row>
    <row r="95" spans="1:11" x14ac:dyDescent="0.3">
      <c r="A95" s="5">
        <v>45326</v>
      </c>
      <c r="B95" s="9" t="s">
        <v>9</v>
      </c>
      <c r="C95" s="9" t="s">
        <v>14</v>
      </c>
      <c r="D95" s="9" t="s">
        <v>18</v>
      </c>
      <c r="E95" s="7">
        <v>9</v>
      </c>
      <c r="F95" s="11">
        <v>1356.76</v>
      </c>
      <c r="G95" s="11">
        <v>12210.84</v>
      </c>
      <c r="H95" s="11">
        <v>1899.83</v>
      </c>
      <c r="I95" s="11" t="str">
        <f>TEXT(SalesData[[#This Row],[Date]],"dddd")</f>
        <v>Sunday</v>
      </c>
      <c r="J95" s="11" t="str">
        <f>TEXT(SalesData[[#This Row],[Date]],"mmm")</f>
        <v>Feb</v>
      </c>
      <c r="K95" s="20">
        <f>MONTH(SalesData[[#This Row],[Date]])</f>
        <v>2</v>
      </c>
    </row>
    <row r="96" spans="1:11" x14ac:dyDescent="0.3">
      <c r="A96" s="5">
        <v>45326</v>
      </c>
      <c r="B96" s="9" t="s">
        <v>10</v>
      </c>
      <c r="C96" s="9" t="s">
        <v>15</v>
      </c>
      <c r="D96" s="9" t="s">
        <v>22</v>
      </c>
      <c r="E96" s="7">
        <v>7</v>
      </c>
      <c r="F96" s="11">
        <v>2144.66</v>
      </c>
      <c r="G96" s="11">
        <v>15012.62</v>
      </c>
      <c r="H96" s="11">
        <v>1738.92</v>
      </c>
      <c r="I96" s="11" t="str">
        <f>TEXT(SalesData[[#This Row],[Date]],"dddd")</f>
        <v>Sunday</v>
      </c>
      <c r="J96" s="11" t="str">
        <f>TEXT(SalesData[[#This Row],[Date]],"mmm")</f>
        <v>Feb</v>
      </c>
      <c r="K96" s="20">
        <f>MONTH(SalesData[[#This Row],[Date]])</f>
        <v>2</v>
      </c>
    </row>
    <row r="97" spans="1:11" x14ac:dyDescent="0.3">
      <c r="A97" s="5">
        <v>45327</v>
      </c>
      <c r="B97" s="9" t="s">
        <v>10</v>
      </c>
      <c r="C97" s="9" t="s">
        <v>16</v>
      </c>
      <c r="D97" s="9" t="s">
        <v>26</v>
      </c>
      <c r="E97" s="7">
        <v>3</v>
      </c>
      <c r="F97" s="11">
        <v>1967.59</v>
      </c>
      <c r="G97" s="11">
        <v>5902.77</v>
      </c>
      <c r="H97" s="11">
        <v>1445.12</v>
      </c>
      <c r="I97" s="11" t="str">
        <f>TEXT(SalesData[[#This Row],[Date]],"dddd")</f>
        <v>Monday</v>
      </c>
      <c r="J97" s="11" t="str">
        <f>TEXT(SalesData[[#This Row],[Date]],"mmm")</f>
        <v>Feb</v>
      </c>
      <c r="K97" s="20">
        <f>MONTH(SalesData[[#This Row],[Date]])</f>
        <v>2</v>
      </c>
    </row>
    <row r="98" spans="1:11" x14ac:dyDescent="0.3">
      <c r="A98" s="5">
        <v>45327</v>
      </c>
      <c r="B98" s="9" t="s">
        <v>10</v>
      </c>
      <c r="C98" s="9" t="s">
        <v>17</v>
      </c>
      <c r="D98" s="9" t="s">
        <v>27</v>
      </c>
      <c r="E98" s="7">
        <v>7</v>
      </c>
      <c r="F98" s="11">
        <v>2151.4699999999998</v>
      </c>
      <c r="G98" s="11">
        <v>15060.29</v>
      </c>
      <c r="H98" s="11">
        <v>2844.45</v>
      </c>
      <c r="I98" s="11" t="str">
        <f>TEXT(SalesData[[#This Row],[Date]],"dddd")</f>
        <v>Monday</v>
      </c>
      <c r="J98" s="11" t="str">
        <f>TEXT(SalesData[[#This Row],[Date]],"mmm")</f>
        <v>Feb</v>
      </c>
      <c r="K98" s="20">
        <f>MONTH(SalesData[[#This Row],[Date]])</f>
        <v>2</v>
      </c>
    </row>
    <row r="99" spans="1:11" x14ac:dyDescent="0.3">
      <c r="A99" s="5">
        <v>45327</v>
      </c>
      <c r="B99" s="9" t="s">
        <v>11</v>
      </c>
      <c r="C99" s="9" t="s">
        <v>16</v>
      </c>
      <c r="D99" s="9" t="s">
        <v>29</v>
      </c>
      <c r="E99" s="7">
        <v>5</v>
      </c>
      <c r="F99" s="11">
        <v>2263.2600000000002</v>
      </c>
      <c r="G99" s="11">
        <v>11316.3</v>
      </c>
      <c r="H99" s="11">
        <v>1545.57</v>
      </c>
      <c r="I99" s="11" t="str">
        <f>TEXT(SalesData[[#This Row],[Date]],"dddd")</f>
        <v>Monday</v>
      </c>
      <c r="J99" s="11" t="str">
        <f>TEXT(SalesData[[#This Row],[Date]],"mmm")</f>
        <v>Feb</v>
      </c>
      <c r="K99" s="20">
        <f>MONTH(SalesData[[#This Row],[Date]])</f>
        <v>2</v>
      </c>
    </row>
    <row r="100" spans="1:11" x14ac:dyDescent="0.3">
      <c r="A100" s="5">
        <v>45327</v>
      </c>
      <c r="B100" s="9" t="s">
        <v>11</v>
      </c>
      <c r="C100" s="9" t="s">
        <v>17</v>
      </c>
      <c r="D100" s="9" t="s">
        <v>27</v>
      </c>
      <c r="E100" s="7">
        <v>1</v>
      </c>
      <c r="F100" s="11">
        <v>1488.61</v>
      </c>
      <c r="G100" s="11">
        <v>1488.61</v>
      </c>
      <c r="H100" s="11">
        <v>221.43</v>
      </c>
      <c r="I100" s="11" t="str">
        <f>TEXT(SalesData[[#This Row],[Date]],"dddd")</f>
        <v>Monday</v>
      </c>
      <c r="J100" s="11" t="str">
        <f>TEXT(SalesData[[#This Row],[Date]],"mmm")</f>
        <v>Feb</v>
      </c>
      <c r="K100" s="20">
        <f>MONTH(SalesData[[#This Row],[Date]])</f>
        <v>2</v>
      </c>
    </row>
    <row r="101" spans="1:11" x14ac:dyDescent="0.3">
      <c r="A101" s="5">
        <v>45328</v>
      </c>
      <c r="B101" s="9" t="s">
        <v>10</v>
      </c>
      <c r="C101" s="9" t="s">
        <v>15</v>
      </c>
      <c r="D101" s="9" t="s">
        <v>23</v>
      </c>
      <c r="E101" s="7">
        <v>6</v>
      </c>
      <c r="F101" s="11">
        <v>1059.32</v>
      </c>
      <c r="G101" s="11">
        <v>6355.92</v>
      </c>
      <c r="H101" s="11">
        <v>1203.96</v>
      </c>
      <c r="I101" s="11" t="str">
        <f>TEXT(SalesData[[#This Row],[Date]],"dddd")</f>
        <v>Tuesday</v>
      </c>
      <c r="J101" s="11" t="str">
        <f>TEXT(SalesData[[#This Row],[Date]],"mmm")</f>
        <v>Feb</v>
      </c>
      <c r="K101" s="20">
        <f>MONTH(SalesData[[#This Row],[Date]])</f>
        <v>2</v>
      </c>
    </row>
    <row r="102" spans="1:11" x14ac:dyDescent="0.3">
      <c r="A102" s="5">
        <v>45328</v>
      </c>
      <c r="B102" s="9" t="s">
        <v>9</v>
      </c>
      <c r="C102" s="9" t="s">
        <v>14</v>
      </c>
      <c r="D102" s="9" t="s">
        <v>20</v>
      </c>
      <c r="E102" s="7">
        <v>2</v>
      </c>
      <c r="F102" s="11">
        <v>982.71</v>
      </c>
      <c r="G102" s="11">
        <v>1965.42</v>
      </c>
      <c r="H102" s="11">
        <v>316.36</v>
      </c>
      <c r="I102" s="11" t="str">
        <f>TEXT(SalesData[[#This Row],[Date]],"dddd")</f>
        <v>Tuesday</v>
      </c>
      <c r="J102" s="11" t="str">
        <f>TEXT(SalesData[[#This Row],[Date]],"mmm")</f>
        <v>Feb</v>
      </c>
      <c r="K102" s="20">
        <f>MONTH(SalesData[[#This Row],[Date]])</f>
        <v>2</v>
      </c>
    </row>
    <row r="103" spans="1:11" x14ac:dyDescent="0.3">
      <c r="A103" s="5">
        <v>45329</v>
      </c>
      <c r="B103" s="9" t="s">
        <v>12</v>
      </c>
      <c r="C103" s="9" t="s">
        <v>17</v>
      </c>
      <c r="D103" s="9" t="s">
        <v>27</v>
      </c>
      <c r="E103" s="7">
        <v>8</v>
      </c>
      <c r="F103" s="11">
        <v>2085.87</v>
      </c>
      <c r="G103" s="11">
        <v>16686.96</v>
      </c>
      <c r="H103" s="11">
        <v>1901.61</v>
      </c>
      <c r="I103" s="11" t="str">
        <f>TEXT(SalesData[[#This Row],[Date]],"dddd")</f>
        <v>Wednesday</v>
      </c>
      <c r="J103" s="11" t="str">
        <f>TEXT(SalesData[[#This Row],[Date]],"mmm")</f>
        <v>Feb</v>
      </c>
      <c r="K103" s="20">
        <f>MONTH(SalesData[[#This Row],[Date]])</f>
        <v>2</v>
      </c>
    </row>
    <row r="104" spans="1:11" x14ac:dyDescent="0.3">
      <c r="A104" s="5">
        <v>45329</v>
      </c>
      <c r="B104" s="9" t="s">
        <v>9</v>
      </c>
      <c r="C104" s="9" t="s">
        <v>17</v>
      </c>
      <c r="D104" s="9" t="s">
        <v>28</v>
      </c>
      <c r="E104" s="7">
        <v>5</v>
      </c>
      <c r="F104" s="11">
        <v>1827.92</v>
      </c>
      <c r="G104" s="11">
        <v>9139.6</v>
      </c>
      <c r="H104" s="11">
        <v>1419.86</v>
      </c>
      <c r="I104" s="11" t="str">
        <f>TEXT(SalesData[[#This Row],[Date]],"dddd")</f>
        <v>Wednesday</v>
      </c>
      <c r="J104" s="11" t="str">
        <f>TEXT(SalesData[[#This Row],[Date]],"mmm")</f>
        <v>Feb</v>
      </c>
      <c r="K104" s="20">
        <f>MONTH(SalesData[[#This Row],[Date]])</f>
        <v>2</v>
      </c>
    </row>
    <row r="105" spans="1:11" x14ac:dyDescent="0.3">
      <c r="A105" s="5">
        <v>45330</v>
      </c>
      <c r="B105" s="9" t="s">
        <v>10</v>
      </c>
      <c r="C105" s="9" t="s">
        <v>15</v>
      </c>
      <c r="D105" s="9" t="s">
        <v>30</v>
      </c>
      <c r="E105" s="7">
        <v>9</v>
      </c>
      <c r="F105" s="11">
        <v>1161.58</v>
      </c>
      <c r="G105" s="11">
        <v>10454.219999999999</v>
      </c>
      <c r="H105" s="11">
        <v>2147.59</v>
      </c>
      <c r="I105" s="11" t="str">
        <f>TEXT(SalesData[[#This Row],[Date]],"dddd")</f>
        <v>Thursday</v>
      </c>
      <c r="J105" s="11" t="str">
        <f>TEXT(SalesData[[#This Row],[Date]],"mmm")</f>
        <v>Feb</v>
      </c>
      <c r="K105" s="20">
        <f>MONTH(SalesData[[#This Row],[Date]])</f>
        <v>2</v>
      </c>
    </row>
    <row r="106" spans="1:11" x14ac:dyDescent="0.3">
      <c r="A106" s="5">
        <v>45330</v>
      </c>
      <c r="B106" s="9" t="s">
        <v>13</v>
      </c>
      <c r="C106" s="9" t="s">
        <v>15</v>
      </c>
      <c r="D106" s="9" t="s">
        <v>23</v>
      </c>
      <c r="E106" s="7">
        <v>4</v>
      </c>
      <c r="F106" s="11">
        <v>741.31</v>
      </c>
      <c r="G106" s="11">
        <v>2965.24</v>
      </c>
      <c r="H106" s="11">
        <v>382.18</v>
      </c>
      <c r="I106" s="11" t="str">
        <f>TEXT(SalesData[[#This Row],[Date]],"dddd")</f>
        <v>Thursday</v>
      </c>
      <c r="J106" s="11" t="str">
        <f>TEXT(SalesData[[#This Row],[Date]],"mmm")</f>
        <v>Feb</v>
      </c>
      <c r="K106" s="20">
        <f>MONTH(SalesData[[#This Row],[Date]])</f>
        <v>2</v>
      </c>
    </row>
    <row r="107" spans="1:11" x14ac:dyDescent="0.3">
      <c r="A107" s="5">
        <v>45330</v>
      </c>
      <c r="B107" s="9" t="s">
        <v>9</v>
      </c>
      <c r="C107" s="9" t="s">
        <v>16</v>
      </c>
      <c r="D107" s="9" t="s">
        <v>29</v>
      </c>
      <c r="E107" s="7">
        <v>4</v>
      </c>
      <c r="F107" s="11">
        <v>1977.21</v>
      </c>
      <c r="G107" s="11">
        <v>7908.84</v>
      </c>
      <c r="H107" s="11">
        <v>1118.9000000000001</v>
      </c>
      <c r="I107" s="11" t="str">
        <f>TEXT(SalesData[[#This Row],[Date]],"dddd")</f>
        <v>Thursday</v>
      </c>
      <c r="J107" s="11" t="str">
        <f>TEXT(SalesData[[#This Row],[Date]],"mmm")</f>
        <v>Feb</v>
      </c>
      <c r="K107" s="20">
        <f>MONTH(SalesData[[#This Row],[Date]])</f>
        <v>2</v>
      </c>
    </row>
    <row r="108" spans="1:11" x14ac:dyDescent="0.3">
      <c r="A108" s="5">
        <v>45330</v>
      </c>
      <c r="B108" s="9" t="s">
        <v>10</v>
      </c>
      <c r="C108" s="9" t="s">
        <v>15</v>
      </c>
      <c r="D108" s="9" t="s">
        <v>22</v>
      </c>
      <c r="E108" s="7">
        <v>4</v>
      </c>
      <c r="F108" s="11">
        <v>1092.49</v>
      </c>
      <c r="G108" s="11">
        <v>4369.96</v>
      </c>
      <c r="H108" s="11">
        <v>673.55</v>
      </c>
      <c r="I108" s="11" t="str">
        <f>TEXT(SalesData[[#This Row],[Date]],"dddd")</f>
        <v>Thursday</v>
      </c>
      <c r="J108" s="11" t="str">
        <f>TEXT(SalesData[[#This Row],[Date]],"mmm")</f>
        <v>Feb</v>
      </c>
      <c r="K108" s="20">
        <f>MONTH(SalesData[[#This Row],[Date]])</f>
        <v>2</v>
      </c>
    </row>
    <row r="109" spans="1:11" x14ac:dyDescent="0.3">
      <c r="A109" s="5">
        <v>45330</v>
      </c>
      <c r="B109" s="9" t="s">
        <v>10</v>
      </c>
      <c r="C109" s="9" t="s">
        <v>14</v>
      </c>
      <c r="D109" s="9" t="s">
        <v>20</v>
      </c>
      <c r="E109" s="7">
        <v>5</v>
      </c>
      <c r="F109" s="11">
        <v>591.03</v>
      </c>
      <c r="G109" s="11">
        <v>2955.15</v>
      </c>
      <c r="H109" s="11">
        <v>319.68</v>
      </c>
      <c r="I109" s="11" t="str">
        <f>TEXT(SalesData[[#This Row],[Date]],"dddd")</f>
        <v>Thursday</v>
      </c>
      <c r="J109" s="11" t="str">
        <f>TEXT(SalesData[[#This Row],[Date]],"mmm")</f>
        <v>Feb</v>
      </c>
      <c r="K109" s="20">
        <f>MONTH(SalesData[[#This Row],[Date]])</f>
        <v>2</v>
      </c>
    </row>
    <row r="110" spans="1:11" x14ac:dyDescent="0.3">
      <c r="A110" s="5">
        <v>45331</v>
      </c>
      <c r="B110" s="9" t="s">
        <v>11</v>
      </c>
      <c r="C110" s="9" t="s">
        <v>17</v>
      </c>
      <c r="D110" s="9" t="s">
        <v>28</v>
      </c>
      <c r="E110" s="7">
        <v>1</v>
      </c>
      <c r="F110" s="11">
        <v>1648.13</v>
      </c>
      <c r="G110" s="11">
        <v>1648.13</v>
      </c>
      <c r="H110" s="11">
        <v>280.86</v>
      </c>
      <c r="I110" s="11" t="str">
        <f>TEXT(SalesData[[#This Row],[Date]],"dddd")</f>
        <v>Friday</v>
      </c>
      <c r="J110" s="11" t="str">
        <f>TEXT(SalesData[[#This Row],[Date]],"mmm")</f>
        <v>Feb</v>
      </c>
      <c r="K110" s="20">
        <f>MONTH(SalesData[[#This Row],[Date]])</f>
        <v>2</v>
      </c>
    </row>
    <row r="111" spans="1:11" x14ac:dyDescent="0.3">
      <c r="A111" s="5">
        <v>45331</v>
      </c>
      <c r="B111" s="9" t="s">
        <v>13</v>
      </c>
      <c r="C111" s="9" t="s">
        <v>15</v>
      </c>
      <c r="D111" s="9" t="s">
        <v>24</v>
      </c>
      <c r="E111" s="7">
        <v>1</v>
      </c>
      <c r="F111" s="11">
        <v>1004.96</v>
      </c>
      <c r="G111" s="11">
        <v>1004.96</v>
      </c>
      <c r="H111" s="11">
        <v>230.4</v>
      </c>
      <c r="I111" s="11" t="str">
        <f>TEXT(SalesData[[#This Row],[Date]],"dddd")</f>
        <v>Friday</v>
      </c>
      <c r="J111" s="11" t="str">
        <f>TEXT(SalesData[[#This Row],[Date]],"mmm")</f>
        <v>Feb</v>
      </c>
      <c r="K111" s="20">
        <f>MONTH(SalesData[[#This Row],[Date]])</f>
        <v>2</v>
      </c>
    </row>
    <row r="112" spans="1:11" x14ac:dyDescent="0.3">
      <c r="A112" s="5">
        <v>45332</v>
      </c>
      <c r="B112" s="9" t="s">
        <v>12</v>
      </c>
      <c r="C112" s="9" t="s">
        <v>17</v>
      </c>
      <c r="D112" s="9" t="s">
        <v>27</v>
      </c>
      <c r="E112" s="7">
        <v>2</v>
      </c>
      <c r="F112" s="11">
        <v>1654.04</v>
      </c>
      <c r="G112" s="11">
        <v>3308.08</v>
      </c>
      <c r="H112" s="11">
        <v>671.43</v>
      </c>
      <c r="I112" s="11" t="str">
        <f>TEXT(SalesData[[#This Row],[Date]],"dddd")</f>
        <v>Saturday</v>
      </c>
      <c r="J112" s="11" t="str">
        <f>TEXT(SalesData[[#This Row],[Date]],"mmm")</f>
        <v>Feb</v>
      </c>
      <c r="K112" s="20">
        <f>MONTH(SalesData[[#This Row],[Date]])</f>
        <v>2</v>
      </c>
    </row>
    <row r="113" spans="1:11" x14ac:dyDescent="0.3">
      <c r="A113" s="5">
        <v>45333</v>
      </c>
      <c r="B113" s="9" t="s">
        <v>9</v>
      </c>
      <c r="C113" s="9" t="s">
        <v>15</v>
      </c>
      <c r="D113" s="9" t="s">
        <v>22</v>
      </c>
      <c r="E113" s="7">
        <v>4</v>
      </c>
      <c r="F113" s="11">
        <v>736.9</v>
      </c>
      <c r="G113" s="11">
        <v>2947.6</v>
      </c>
      <c r="H113" s="11">
        <v>632.75</v>
      </c>
      <c r="I113" s="11" t="str">
        <f>TEXT(SalesData[[#This Row],[Date]],"dddd")</f>
        <v>Sunday</v>
      </c>
      <c r="J113" s="11" t="str">
        <f>TEXT(SalesData[[#This Row],[Date]],"mmm")</f>
        <v>Feb</v>
      </c>
      <c r="K113" s="20">
        <f>MONTH(SalesData[[#This Row],[Date]])</f>
        <v>2</v>
      </c>
    </row>
    <row r="114" spans="1:11" x14ac:dyDescent="0.3">
      <c r="A114" s="5">
        <v>45333</v>
      </c>
      <c r="B114" s="9" t="s">
        <v>9</v>
      </c>
      <c r="C114" s="9" t="s">
        <v>16</v>
      </c>
      <c r="D114" s="9" t="s">
        <v>25</v>
      </c>
      <c r="E114" s="7">
        <v>7</v>
      </c>
      <c r="F114" s="11">
        <v>1401.03</v>
      </c>
      <c r="G114" s="11">
        <v>9807.2099999999991</v>
      </c>
      <c r="H114" s="11">
        <v>1632</v>
      </c>
      <c r="I114" s="11" t="str">
        <f>TEXT(SalesData[[#This Row],[Date]],"dddd")</f>
        <v>Sunday</v>
      </c>
      <c r="J114" s="11" t="str">
        <f>TEXT(SalesData[[#This Row],[Date]],"mmm")</f>
        <v>Feb</v>
      </c>
      <c r="K114" s="20">
        <f>MONTH(SalesData[[#This Row],[Date]])</f>
        <v>2</v>
      </c>
    </row>
    <row r="115" spans="1:11" x14ac:dyDescent="0.3">
      <c r="A115" s="5">
        <v>45334</v>
      </c>
      <c r="B115" s="9" t="s">
        <v>12</v>
      </c>
      <c r="C115" s="9" t="s">
        <v>15</v>
      </c>
      <c r="D115" s="9" t="s">
        <v>22</v>
      </c>
      <c r="E115" s="7">
        <v>10</v>
      </c>
      <c r="F115" s="11">
        <v>2420.2199999999998</v>
      </c>
      <c r="G115" s="11">
        <v>24202.2</v>
      </c>
      <c r="H115" s="11">
        <v>2780.47</v>
      </c>
      <c r="I115" s="11" t="str">
        <f>TEXT(SalesData[[#This Row],[Date]],"dddd")</f>
        <v>Monday</v>
      </c>
      <c r="J115" s="11" t="str">
        <f>TEXT(SalesData[[#This Row],[Date]],"mmm")</f>
        <v>Feb</v>
      </c>
      <c r="K115" s="20">
        <f>MONTH(SalesData[[#This Row],[Date]])</f>
        <v>2</v>
      </c>
    </row>
    <row r="116" spans="1:11" x14ac:dyDescent="0.3">
      <c r="A116" s="5">
        <v>45334</v>
      </c>
      <c r="B116" s="9" t="s">
        <v>13</v>
      </c>
      <c r="C116" s="9" t="s">
        <v>16</v>
      </c>
      <c r="D116" s="9" t="s">
        <v>26</v>
      </c>
      <c r="E116" s="7">
        <v>2</v>
      </c>
      <c r="F116" s="11">
        <v>814.11</v>
      </c>
      <c r="G116" s="11">
        <v>1628.22</v>
      </c>
      <c r="H116" s="11">
        <v>205.27</v>
      </c>
      <c r="I116" s="11" t="str">
        <f>TEXT(SalesData[[#This Row],[Date]],"dddd")</f>
        <v>Monday</v>
      </c>
      <c r="J116" s="11" t="str">
        <f>TEXT(SalesData[[#This Row],[Date]],"mmm")</f>
        <v>Feb</v>
      </c>
      <c r="K116" s="20">
        <f>MONTH(SalesData[[#This Row],[Date]])</f>
        <v>2</v>
      </c>
    </row>
    <row r="117" spans="1:11" x14ac:dyDescent="0.3">
      <c r="A117" s="5">
        <v>45334</v>
      </c>
      <c r="B117" s="9" t="s">
        <v>10</v>
      </c>
      <c r="C117" s="9" t="s">
        <v>16</v>
      </c>
      <c r="D117" s="9" t="s">
        <v>29</v>
      </c>
      <c r="E117" s="7">
        <v>7</v>
      </c>
      <c r="F117" s="11">
        <v>1401.01</v>
      </c>
      <c r="G117" s="11">
        <v>9807.07</v>
      </c>
      <c r="H117" s="11">
        <v>1854.24</v>
      </c>
      <c r="I117" s="11" t="str">
        <f>TEXT(SalesData[[#This Row],[Date]],"dddd")</f>
        <v>Monday</v>
      </c>
      <c r="J117" s="11" t="str">
        <f>TEXT(SalesData[[#This Row],[Date]],"mmm")</f>
        <v>Feb</v>
      </c>
      <c r="K117" s="20">
        <f>MONTH(SalesData[[#This Row],[Date]])</f>
        <v>2</v>
      </c>
    </row>
    <row r="118" spans="1:11" x14ac:dyDescent="0.3">
      <c r="A118" s="5">
        <v>45334</v>
      </c>
      <c r="B118" s="9" t="s">
        <v>11</v>
      </c>
      <c r="C118" s="9" t="s">
        <v>14</v>
      </c>
      <c r="D118" s="9" t="s">
        <v>20</v>
      </c>
      <c r="E118" s="7">
        <v>5</v>
      </c>
      <c r="F118" s="11">
        <v>1913.91</v>
      </c>
      <c r="G118" s="11">
        <v>9569.5499999999993</v>
      </c>
      <c r="H118" s="11">
        <v>1966.05</v>
      </c>
      <c r="I118" s="11" t="str">
        <f>TEXT(SalesData[[#This Row],[Date]],"dddd")</f>
        <v>Monday</v>
      </c>
      <c r="J118" s="11" t="str">
        <f>TEXT(SalesData[[#This Row],[Date]],"mmm")</f>
        <v>Feb</v>
      </c>
      <c r="K118" s="20">
        <f>MONTH(SalesData[[#This Row],[Date]])</f>
        <v>2</v>
      </c>
    </row>
    <row r="119" spans="1:11" x14ac:dyDescent="0.3">
      <c r="A119" s="5">
        <v>45335</v>
      </c>
      <c r="B119" s="9" t="s">
        <v>11</v>
      </c>
      <c r="C119" s="9" t="s">
        <v>16</v>
      </c>
      <c r="D119" s="9" t="s">
        <v>26</v>
      </c>
      <c r="E119" s="7">
        <v>10</v>
      </c>
      <c r="F119" s="11">
        <v>1822.37</v>
      </c>
      <c r="G119" s="11">
        <v>18223.7</v>
      </c>
      <c r="H119" s="11">
        <v>4374.6000000000004</v>
      </c>
      <c r="I119" s="11" t="str">
        <f>TEXT(SalesData[[#This Row],[Date]],"dddd")</f>
        <v>Tuesday</v>
      </c>
      <c r="J119" s="11" t="str">
        <f>TEXT(SalesData[[#This Row],[Date]],"mmm")</f>
        <v>Feb</v>
      </c>
      <c r="K119" s="20">
        <f>MONTH(SalesData[[#This Row],[Date]])</f>
        <v>2</v>
      </c>
    </row>
    <row r="120" spans="1:11" x14ac:dyDescent="0.3">
      <c r="A120" s="5">
        <v>45336</v>
      </c>
      <c r="B120" s="9" t="s">
        <v>13</v>
      </c>
      <c r="C120" s="9" t="s">
        <v>16</v>
      </c>
      <c r="D120" s="9" t="s">
        <v>25</v>
      </c>
      <c r="E120" s="7">
        <v>3</v>
      </c>
      <c r="F120" s="11">
        <v>2316.8200000000002</v>
      </c>
      <c r="G120" s="11">
        <v>6950.46</v>
      </c>
      <c r="H120" s="11">
        <v>1556.87</v>
      </c>
      <c r="I120" s="11" t="str">
        <f>TEXT(SalesData[[#This Row],[Date]],"dddd")</f>
        <v>Wednesday</v>
      </c>
      <c r="J120" s="11" t="str">
        <f>TEXT(SalesData[[#This Row],[Date]],"mmm")</f>
        <v>Feb</v>
      </c>
      <c r="K120" s="20">
        <f>MONTH(SalesData[[#This Row],[Date]])</f>
        <v>2</v>
      </c>
    </row>
    <row r="121" spans="1:11" x14ac:dyDescent="0.3">
      <c r="A121" s="5">
        <v>45337</v>
      </c>
      <c r="B121" s="9" t="s">
        <v>10</v>
      </c>
      <c r="C121" s="9" t="s">
        <v>16</v>
      </c>
      <c r="D121" s="9" t="s">
        <v>26</v>
      </c>
      <c r="E121" s="7">
        <v>10</v>
      </c>
      <c r="F121" s="11">
        <v>1997.92</v>
      </c>
      <c r="G121" s="11">
        <v>19979.2</v>
      </c>
      <c r="H121" s="11">
        <v>3703.77</v>
      </c>
      <c r="I121" s="11" t="str">
        <f>TEXT(SalesData[[#This Row],[Date]],"dddd")</f>
        <v>Thursday</v>
      </c>
      <c r="J121" s="11" t="str">
        <f>TEXT(SalesData[[#This Row],[Date]],"mmm")</f>
        <v>Feb</v>
      </c>
      <c r="K121" s="20">
        <f>MONTH(SalesData[[#This Row],[Date]])</f>
        <v>2</v>
      </c>
    </row>
    <row r="122" spans="1:11" x14ac:dyDescent="0.3">
      <c r="A122" s="5">
        <v>45338</v>
      </c>
      <c r="B122" s="9" t="s">
        <v>9</v>
      </c>
      <c r="C122" s="9" t="s">
        <v>14</v>
      </c>
      <c r="D122" s="9" t="s">
        <v>19</v>
      </c>
      <c r="E122" s="7">
        <v>5</v>
      </c>
      <c r="F122" s="11">
        <v>1899.47</v>
      </c>
      <c r="G122" s="11">
        <v>9497.35</v>
      </c>
      <c r="H122" s="11">
        <v>2292.67</v>
      </c>
      <c r="I122" s="11" t="str">
        <f>TEXT(SalesData[[#This Row],[Date]],"dddd")</f>
        <v>Friday</v>
      </c>
      <c r="J122" s="11" t="str">
        <f>TEXT(SalesData[[#This Row],[Date]],"mmm")</f>
        <v>Feb</v>
      </c>
      <c r="K122" s="20">
        <f>MONTH(SalesData[[#This Row],[Date]])</f>
        <v>2</v>
      </c>
    </row>
    <row r="123" spans="1:11" x14ac:dyDescent="0.3">
      <c r="A123" s="5">
        <v>45338</v>
      </c>
      <c r="B123" s="9" t="s">
        <v>8</v>
      </c>
      <c r="C123" s="9" t="s">
        <v>17</v>
      </c>
      <c r="D123" s="9" t="s">
        <v>27</v>
      </c>
      <c r="E123" s="7">
        <v>2</v>
      </c>
      <c r="F123" s="11">
        <v>1696.07</v>
      </c>
      <c r="G123" s="11">
        <v>3392.14</v>
      </c>
      <c r="H123" s="11">
        <v>791.77</v>
      </c>
      <c r="I123" s="11" t="str">
        <f>TEXT(SalesData[[#This Row],[Date]],"dddd")</f>
        <v>Friday</v>
      </c>
      <c r="J123" s="11" t="str">
        <f>TEXT(SalesData[[#This Row],[Date]],"mmm")</f>
        <v>Feb</v>
      </c>
      <c r="K123" s="20">
        <f>MONTH(SalesData[[#This Row],[Date]])</f>
        <v>2</v>
      </c>
    </row>
    <row r="124" spans="1:11" x14ac:dyDescent="0.3">
      <c r="A124" s="5">
        <v>45338</v>
      </c>
      <c r="B124" s="9" t="s">
        <v>9</v>
      </c>
      <c r="C124" s="9" t="s">
        <v>15</v>
      </c>
      <c r="D124" s="9" t="s">
        <v>23</v>
      </c>
      <c r="E124" s="7">
        <v>1</v>
      </c>
      <c r="F124" s="11">
        <v>682.65</v>
      </c>
      <c r="G124" s="11">
        <v>682.65</v>
      </c>
      <c r="H124" s="11">
        <v>166.76</v>
      </c>
      <c r="I124" s="11" t="str">
        <f>TEXT(SalesData[[#This Row],[Date]],"dddd")</f>
        <v>Friday</v>
      </c>
      <c r="J124" s="11" t="str">
        <f>TEXT(SalesData[[#This Row],[Date]],"mmm")</f>
        <v>Feb</v>
      </c>
      <c r="K124" s="20">
        <f>MONTH(SalesData[[#This Row],[Date]])</f>
        <v>2</v>
      </c>
    </row>
    <row r="125" spans="1:11" x14ac:dyDescent="0.3">
      <c r="A125" s="5">
        <v>45338</v>
      </c>
      <c r="B125" s="9" t="s">
        <v>11</v>
      </c>
      <c r="C125" s="9" t="s">
        <v>14</v>
      </c>
      <c r="D125" s="9" t="s">
        <v>18</v>
      </c>
      <c r="E125" s="7">
        <v>10</v>
      </c>
      <c r="F125" s="11">
        <v>580.46</v>
      </c>
      <c r="G125" s="11">
        <v>5804.6</v>
      </c>
      <c r="H125" s="11">
        <v>1238.94</v>
      </c>
      <c r="I125" s="11" t="str">
        <f>TEXT(SalesData[[#This Row],[Date]],"dddd")</f>
        <v>Friday</v>
      </c>
      <c r="J125" s="11" t="str">
        <f>TEXT(SalesData[[#This Row],[Date]],"mmm")</f>
        <v>Feb</v>
      </c>
      <c r="K125" s="20">
        <f>MONTH(SalesData[[#This Row],[Date]])</f>
        <v>2</v>
      </c>
    </row>
    <row r="126" spans="1:11" x14ac:dyDescent="0.3">
      <c r="A126" s="5">
        <v>45339</v>
      </c>
      <c r="B126" s="9" t="s">
        <v>11</v>
      </c>
      <c r="C126" s="9" t="s">
        <v>17</v>
      </c>
      <c r="D126" s="9" t="s">
        <v>27</v>
      </c>
      <c r="E126" s="7">
        <v>3</v>
      </c>
      <c r="F126" s="11">
        <v>2493.89</v>
      </c>
      <c r="G126" s="11">
        <v>7481.67</v>
      </c>
      <c r="H126" s="11">
        <v>1237.3399999999999</v>
      </c>
      <c r="I126" s="11" t="str">
        <f>TEXT(SalesData[[#This Row],[Date]],"dddd")</f>
        <v>Saturday</v>
      </c>
      <c r="J126" s="11" t="str">
        <f>TEXT(SalesData[[#This Row],[Date]],"mmm")</f>
        <v>Feb</v>
      </c>
      <c r="K126" s="20">
        <f>MONTH(SalesData[[#This Row],[Date]])</f>
        <v>2</v>
      </c>
    </row>
    <row r="127" spans="1:11" x14ac:dyDescent="0.3">
      <c r="A127" s="5">
        <v>45339</v>
      </c>
      <c r="B127" s="9" t="s">
        <v>13</v>
      </c>
      <c r="C127" s="9" t="s">
        <v>14</v>
      </c>
      <c r="D127" s="9" t="s">
        <v>19</v>
      </c>
      <c r="E127" s="7">
        <v>6</v>
      </c>
      <c r="F127" s="11">
        <v>1316.7</v>
      </c>
      <c r="G127" s="11">
        <v>7900.2</v>
      </c>
      <c r="H127" s="11">
        <v>1170.48</v>
      </c>
      <c r="I127" s="11" t="str">
        <f>TEXT(SalesData[[#This Row],[Date]],"dddd")</f>
        <v>Saturday</v>
      </c>
      <c r="J127" s="11" t="str">
        <f>TEXT(SalesData[[#This Row],[Date]],"mmm")</f>
        <v>Feb</v>
      </c>
      <c r="K127" s="20">
        <f>MONTH(SalesData[[#This Row],[Date]])</f>
        <v>2</v>
      </c>
    </row>
    <row r="128" spans="1:11" x14ac:dyDescent="0.3">
      <c r="A128" s="5">
        <v>45339</v>
      </c>
      <c r="B128" s="9" t="s">
        <v>11</v>
      </c>
      <c r="C128" s="9" t="s">
        <v>16</v>
      </c>
      <c r="D128" s="9" t="s">
        <v>26</v>
      </c>
      <c r="E128" s="7">
        <v>7</v>
      </c>
      <c r="F128" s="11">
        <v>1887.35</v>
      </c>
      <c r="G128" s="11">
        <v>13211.45</v>
      </c>
      <c r="H128" s="11">
        <v>1892.31</v>
      </c>
      <c r="I128" s="11" t="str">
        <f>TEXT(SalesData[[#This Row],[Date]],"dddd")</f>
        <v>Saturday</v>
      </c>
      <c r="J128" s="11" t="str">
        <f>TEXT(SalesData[[#This Row],[Date]],"mmm")</f>
        <v>Feb</v>
      </c>
      <c r="K128" s="20">
        <f>MONTH(SalesData[[#This Row],[Date]])</f>
        <v>2</v>
      </c>
    </row>
    <row r="129" spans="1:11" x14ac:dyDescent="0.3">
      <c r="A129" s="5">
        <v>45339</v>
      </c>
      <c r="B129" s="9" t="s">
        <v>11</v>
      </c>
      <c r="C129" s="9" t="s">
        <v>14</v>
      </c>
      <c r="D129" s="9" t="s">
        <v>19</v>
      </c>
      <c r="E129" s="7">
        <v>2</v>
      </c>
      <c r="F129" s="11">
        <v>1129.03</v>
      </c>
      <c r="G129" s="11">
        <v>2258.06</v>
      </c>
      <c r="H129" s="11">
        <v>335.3</v>
      </c>
      <c r="I129" s="11" t="str">
        <f>TEXT(SalesData[[#This Row],[Date]],"dddd")</f>
        <v>Saturday</v>
      </c>
      <c r="J129" s="11" t="str">
        <f>TEXT(SalesData[[#This Row],[Date]],"mmm")</f>
        <v>Feb</v>
      </c>
      <c r="K129" s="20">
        <f>MONTH(SalesData[[#This Row],[Date]])</f>
        <v>2</v>
      </c>
    </row>
    <row r="130" spans="1:11" x14ac:dyDescent="0.3">
      <c r="A130" s="5">
        <v>45339</v>
      </c>
      <c r="B130" s="9" t="s">
        <v>9</v>
      </c>
      <c r="C130" s="9" t="s">
        <v>14</v>
      </c>
      <c r="D130" s="9" t="s">
        <v>19</v>
      </c>
      <c r="E130" s="7">
        <v>7</v>
      </c>
      <c r="F130" s="11">
        <v>608.41</v>
      </c>
      <c r="G130" s="11">
        <v>4258.87</v>
      </c>
      <c r="H130" s="11">
        <v>757.08</v>
      </c>
      <c r="I130" s="11" t="str">
        <f>TEXT(SalesData[[#This Row],[Date]],"dddd")</f>
        <v>Saturday</v>
      </c>
      <c r="J130" s="11" t="str">
        <f>TEXT(SalesData[[#This Row],[Date]],"mmm")</f>
        <v>Feb</v>
      </c>
      <c r="K130" s="20">
        <f>MONTH(SalesData[[#This Row],[Date]])</f>
        <v>2</v>
      </c>
    </row>
    <row r="131" spans="1:11" x14ac:dyDescent="0.3">
      <c r="A131" s="5">
        <v>45340</v>
      </c>
      <c r="B131" s="9" t="s">
        <v>10</v>
      </c>
      <c r="C131" s="9" t="s">
        <v>17</v>
      </c>
      <c r="D131" s="9" t="s">
        <v>28</v>
      </c>
      <c r="E131" s="7">
        <v>4</v>
      </c>
      <c r="F131" s="11">
        <v>1034.1099999999999</v>
      </c>
      <c r="G131" s="11">
        <v>4136.4399999999996</v>
      </c>
      <c r="H131" s="11">
        <v>494.93</v>
      </c>
      <c r="I131" s="11" t="str">
        <f>TEXT(SalesData[[#This Row],[Date]],"dddd")</f>
        <v>Sunday</v>
      </c>
      <c r="J131" s="11" t="str">
        <f>TEXT(SalesData[[#This Row],[Date]],"mmm")</f>
        <v>Feb</v>
      </c>
      <c r="K131" s="20">
        <f>MONTH(SalesData[[#This Row],[Date]])</f>
        <v>2</v>
      </c>
    </row>
    <row r="132" spans="1:11" x14ac:dyDescent="0.3">
      <c r="A132" s="5">
        <v>45340</v>
      </c>
      <c r="B132" s="9" t="s">
        <v>12</v>
      </c>
      <c r="C132" s="9" t="s">
        <v>17</v>
      </c>
      <c r="D132" s="9" t="s">
        <v>27</v>
      </c>
      <c r="E132" s="7">
        <v>2</v>
      </c>
      <c r="F132" s="11">
        <v>557.74</v>
      </c>
      <c r="G132" s="11">
        <v>1115.48</v>
      </c>
      <c r="H132" s="11">
        <v>216.96</v>
      </c>
      <c r="I132" s="11" t="str">
        <f>TEXT(SalesData[[#This Row],[Date]],"dddd")</f>
        <v>Sunday</v>
      </c>
      <c r="J132" s="11" t="str">
        <f>TEXT(SalesData[[#This Row],[Date]],"mmm")</f>
        <v>Feb</v>
      </c>
      <c r="K132" s="20">
        <f>MONTH(SalesData[[#This Row],[Date]])</f>
        <v>2</v>
      </c>
    </row>
    <row r="133" spans="1:11" x14ac:dyDescent="0.3">
      <c r="A133" s="5">
        <v>45340</v>
      </c>
      <c r="B133" s="9" t="s">
        <v>12</v>
      </c>
      <c r="C133" s="9" t="s">
        <v>16</v>
      </c>
      <c r="D133" s="9" t="s">
        <v>26</v>
      </c>
      <c r="E133" s="7">
        <v>9</v>
      </c>
      <c r="F133" s="11">
        <v>527.35</v>
      </c>
      <c r="G133" s="11">
        <v>4746.1499999999996</v>
      </c>
      <c r="H133" s="11">
        <v>765.07</v>
      </c>
      <c r="I133" s="11" t="str">
        <f>TEXT(SalesData[[#This Row],[Date]],"dddd")</f>
        <v>Sunday</v>
      </c>
      <c r="J133" s="11" t="str">
        <f>TEXT(SalesData[[#This Row],[Date]],"mmm")</f>
        <v>Feb</v>
      </c>
      <c r="K133" s="20">
        <f>MONTH(SalesData[[#This Row],[Date]])</f>
        <v>2</v>
      </c>
    </row>
    <row r="134" spans="1:11" x14ac:dyDescent="0.3">
      <c r="A134" s="5">
        <v>45340</v>
      </c>
      <c r="B134" s="9" t="s">
        <v>8</v>
      </c>
      <c r="C134" s="9" t="s">
        <v>14</v>
      </c>
      <c r="D134" s="9" t="s">
        <v>19</v>
      </c>
      <c r="E134" s="7">
        <v>2</v>
      </c>
      <c r="F134" s="11">
        <v>1795.42</v>
      </c>
      <c r="G134" s="11">
        <v>3590.84</v>
      </c>
      <c r="H134" s="11">
        <v>442.02</v>
      </c>
      <c r="I134" s="11" t="str">
        <f>TEXT(SalesData[[#This Row],[Date]],"dddd")</f>
        <v>Sunday</v>
      </c>
      <c r="J134" s="11" t="str">
        <f>TEXT(SalesData[[#This Row],[Date]],"mmm")</f>
        <v>Feb</v>
      </c>
      <c r="K134" s="20">
        <f>MONTH(SalesData[[#This Row],[Date]])</f>
        <v>2</v>
      </c>
    </row>
    <row r="135" spans="1:11" x14ac:dyDescent="0.3">
      <c r="A135" s="5">
        <v>45341</v>
      </c>
      <c r="B135" s="9" t="s">
        <v>9</v>
      </c>
      <c r="C135" s="9" t="s">
        <v>15</v>
      </c>
      <c r="D135" s="9" t="s">
        <v>30</v>
      </c>
      <c r="E135" s="7">
        <v>8</v>
      </c>
      <c r="F135" s="11">
        <v>2460.4899999999998</v>
      </c>
      <c r="G135" s="11">
        <v>19683.919999999998</v>
      </c>
      <c r="H135" s="11">
        <v>2688.03</v>
      </c>
      <c r="I135" s="11" t="str">
        <f>TEXT(SalesData[[#This Row],[Date]],"dddd")</f>
        <v>Monday</v>
      </c>
      <c r="J135" s="11" t="str">
        <f>TEXT(SalesData[[#This Row],[Date]],"mmm")</f>
        <v>Feb</v>
      </c>
      <c r="K135" s="20">
        <f>MONTH(SalesData[[#This Row],[Date]])</f>
        <v>2</v>
      </c>
    </row>
    <row r="136" spans="1:11" x14ac:dyDescent="0.3">
      <c r="A136" s="5">
        <v>45341</v>
      </c>
      <c r="B136" s="9" t="s">
        <v>12</v>
      </c>
      <c r="C136" s="9" t="s">
        <v>16</v>
      </c>
      <c r="D136" s="9" t="s">
        <v>26</v>
      </c>
      <c r="E136" s="7">
        <v>4</v>
      </c>
      <c r="F136" s="11">
        <v>2343.7399999999998</v>
      </c>
      <c r="G136" s="11">
        <v>9374.9599999999991</v>
      </c>
      <c r="H136" s="11">
        <v>1652.21</v>
      </c>
      <c r="I136" s="11" t="str">
        <f>TEXT(SalesData[[#This Row],[Date]],"dddd")</f>
        <v>Monday</v>
      </c>
      <c r="J136" s="11" t="str">
        <f>TEXT(SalesData[[#This Row],[Date]],"mmm")</f>
        <v>Feb</v>
      </c>
      <c r="K136" s="20">
        <f>MONTH(SalesData[[#This Row],[Date]])</f>
        <v>2</v>
      </c>
    </row>
    <row r="137" spans="1:11" x14ac:dyDescent="0.3">
      <c r="A137" s="5">
        <v>45341</v>
      </c>
      <c r="B137" s="9" t="s">
        <v>10</v>
      </c>
      <c r="C137" s="9" t="s">
        <v>14</v>
      </c>
      <c r="D137" s="9" t="s">
        <v>18</v>
      </c>
      <c r="E137" s="7">
        <v>7</v>
      </c>
      <c r="F137" s="11">
        <v>1179.75</v>
      </c>
      <c r="G137" s="11">
        <v>8258.25</v>
      </c>
      <c r="H137" s="11">
        <v>1801.6</v>
      </c>
      <c r="I137" s="11" t="str">
        <f>TEXT(SalesData[[#This Row],[Date]],"dddd")</f>
        <v>Monday</v>
      </c>
      <c r="J137" s="11" t="str">
        <f>TEXT(SalesData[[#This Row],[Date]],"mmm")</f>
        <v>Feb</v>
      </c>
      <c r="K137" s="20">
        <f>MONTH(SalesData[[#This Row],[Date]])</f>
        <v>2</v>
      </c>
    </row>
    <row r="138" spans="1:11" x14ac:dyDescent="0.3">
      <c r="A138" s="5">
        <v>45342</v>
      </c>
      <c r="B138" s="9" t="s">
        <v>12</v>
      </c>
      <c r="C138" s="9" t="s">
        <v>15</v>
      </c>
      <c r="D138" s="9" t="s">
        <v>23</v>
      </c>
      <c r="E138" s="7">
        <v>10</v>
      </c>
      <c r="F138" s="11">
        <v>1659.85</v>
      </c>
      <c r="G138" s="11">
        <v>16598.5</v>
      </c>
      <c r="H138" s="11">
        <v>3302.95</v>
      </c>
      <c r="I138" s="11" t="str">
        <f>TEXT(SalesData[[#This Row],[Date]],"dddd")</f>
        <v>Tuesday</v>
      </c>
      <c r="J138" s="11" t="str">
        <f>TEXT(SalesData[[#This Row],[Date]],"mmm")</f>
        <v>Feb</v>
      </c>
      <c r="K138" s="20">
        <f>MONTH(SalesData[[#This Row],[Date]])</f>
        <v>2</v>
      </c>
    </row>
    <row r="139" spans="1:11" x14ac:dyDescent="0.3">
      <c r="A139" s="5">
        <v>45343</v>
      </c>
      <c r="B139" s="9" t="s">
        <v>11</v>
      </c>
      <c r="C139" s="9" t="s">
        <v>17</v>
      </c>
      <c r="D139" s="9" t="s">
        <v>27</v>
      </c>
      <c r="E139" s="7">
        <v>6</v>
      </c>
      <c r="F139" s="11">
        <v>1603.83</v>
      </c>
      <c r="G139" s="11">
        <v>9622.98</v>
      </c>
      <c r="H139" s="11">
        <v>1746.71</v>
      </c>
      <c r="I139" s="11" t="str">
        <f>TEXT(SalesData[[#This Row],[Date]],"dddd")</f>
        <v>Wednesday</v>
      </c>
      <c r="J139" s="11" t="str">
        <f>TEXT(SalesData[[#This Row],[Date]],"mmm")</f>
        <v>Feb</v>
      </c>
      <c r="K139" s="20">
        <f>MONTH(SalesData[[#This Row],[Date]])</f>
        <v>2</v>
      </c>
    </row>
    <row r="140" spans="1:11" x14ac:dyDescent="0.3">
      <c r="A140" s="5">
        <v>45343</v>
      </c>
      <c r="B140" s="9" t="s">
        <v>11</v>
      </c>
      <c r="C140" s="9" t="s">
        <v>15</v>
      </c>
      <c r="D140" s="9" t="s">
        <v>24</v>
      </c>
      <c r="E140" s="7">
        <v>4</v>
      </c>
      <c r="F140" s="11">
        <v>1643.6</v>
      </c>
      <c r="G140" s="11">
        <v>6574.4</v>
      </c>
      <c r="H140" s="11">
        <v>887.77</v>
      </c>
      <c r="I140" s="11" t="str">
        <f>TEXT(SalesData[[#This Row],[Date]],"dddd")</f>
        <v>Wednesday</v>
      </c>
      <c r="J140" s="11" t="str">
        <f>TEXT(SalesData[[#This Row],[Date]],"mmm")</f>
        <v>Feb</v>
      </c>
      <c r="K140" s="20">
        <f>MONTH(SalesData[[#This Row],[Date]])</f>
        <v>2</v>
      </c>
    </row>
    <row r="141" spans="1:11" x14ac:dyDescent="0.3">
      <c r="A141" s="5">
        <v>45343</v>
      </c>
      <c r="B141" s="9" t="s">
        <v>11</v>
      </c>
      <c r="C141" s="9" t="s">
        <v>14</v>
      </c>
      <c r="D141" s="9" t="s">
        <v>18</v>
      </c>
      <c r="E141" s="7">
        <v>8</v>
      </c>
      <c r="F141" s="11">
        <v>1910.46</v>
      </c>
      <c r="G141" s="11">
        <v>15283.68</v>
      </c>
      <c r="H141" s="11">
        <v>3388.57</v>
      </c>
      <c r="I141" s="11" t="str">
        <f>TEXT(SalesData[[#This Row],[Date]],"dddd")</f>
        <v>Wednesday</v>
      </c>
      <c r="J141" s="11" t="str">
        <f>TEXT(SalesData[[#This Row],[Date]],"mmm")</f>
        <v>Feb</v>
      </c>
      <c r="K141" s="20">
        <f>MONTH(SalesData[[#This Row],[Date]])</f>
        <v>2</v>
      </c>
    </row>
    <row r="142" spans="1:11" x14ac:dyDescent="0.3">
      <c r="A142" s="5">
        <v>45343</v>
      </c>
      <c r="B142" s="9" t="s">
        <v>10</v>
      </c>
      <c r="C142" s="9" t="s">
        <v>16</v>
      </c>
      <c r="D142" s="9" t="s">
        <v>26</v>
      </c>
      <c r="E142" s="7">
        <v>1</v>
      </c>
      <c r="F142" s="11">
        <v>752.49</v>
      </c>
      <c r="G142" s="11">
        <v>752.49</v>
      </c>
      <c r="H142" s="11">
        <v>184.21</v>
      </c>
      <c r="I142" s="11" t="str">
        <f>TEXT(SalesData[[#This Row],[Date]],"dddd")</f>
        <v>Wednesday</v>
      </c>
      <c r="J142" s="11" t="str">
        <f>TEXT(SalesData[[#This Row],[Date]],"mmm")</f>
        <v>Feb</v>
      </c>
      <c r="K142" s="20">
        <f>MONTH(SalesData[[#This Row],[Date]])</f>
        <v>2</v>
      </c>
    </row>
    <row r="143" spans="1:11" x14ac:dyDescent="0.3">
      <c r="A143" s="5">
        <v>45344</v>
      </c>
      <c r="B143" s="9" t="s">
        <v>12</v>
      </c>
      <c r="C143" s="9" t="s">
        <v>17</v>
      </c>
      <c r="D143" s="9" t="s">
        <v>28</v>
      </c>
      <c r="E143" s="7">
        <v>9</v>
      </c>
      <c r="F143" s="11">
        <v>2320.88</v>
      </c>
      <c r="G143" s="11">
        <v>20887.919999999998</v>
      </c>
      <c r="H143" s="11">
        <v>2136.88</v>
      </c>
      <c r="I143" s="11" t="str">
        <f>TEXT(SalesData[[#This Row],[Date]],"dddd")</f>
        <v>Thursday</v>
      </c>
      <c r="J143" s="11" t="str">
        <f>TEXT(SalesData[[#This Row],[Date]],"mmm")</f>
        <v>Feb</v>
      </c>
      <c r="K143" s="20">
        <f>MONTH(SalesData[[#This Row],[Date]])</f>
        <v>2</v>
      </c>
    </row>
    <row r="144" spans="1:11" x14ac:dyDescent="0.3">
      <c r="A144" s="5">
        <v>45345</v>
      </c>
      <c r="B144" s="9" t="s">
        <v>9</v>
      </c>
      <c r="C144" s="9" t="s">
        <v>16</v>
      </c>
      <c r="D144" s="9" t="s">
        <v>29</v>
      </c>
      <c r="E144" s="7">
        <v>8</v>
      </c>
      <c r="F144" s="11">
        <v>2063.0500000000002</v>
      </c>
      <c r="G144" s="11">
        <v>16504.400000000001</v>
      </c>
      <c r="H144" s="11">
        <v>2306.5500000000002</v>
      </c>
      <c r="I144" s="11" t="str">
        <f>TEXT(SalesData[[#This Row],[Date]],"dddd")</f>
        <v>Friday</v>
      </c>
      <c r="J144" s="11" t="str">
        <f>TEXT(SalesData[[#This Row],[Date]],"mmm")</f>
        <v>Feb</v>
      </c>
      <c r="K144" s="20">
        <f>MONTH(SalesData[[#This Row],[Date]])</f>
        <v>2</v>
      </c>
    </row>
    <row r="145" spans="1:11" x14ac:dyDescent="0.3">
      <c r="A145" s="5">
        <v>45345</v>
      </c>
      <c r="B145" s="9" t="s">
        <v>11</v>
      </c>
      <c r="C145" s="9" t="s">
        <v>17</v>
      </c>
      <c r="D145" s="9" t="s">
        <v>28</v>
      </c>
      <c r="E145" s="7">
        <v>6</v>
      </c>
      <c r="F145" s="11">
        <v>2204.6799999999998</v>
      </c>
      <c r="G145" s="11">
        <v>13228.08</v>
      </c>
      <c r="H145" s="11">
        <v>3027.93</v>
      </c>
      <c r="I145" s="11" t="str">
        <f>TEXT(SalesData[[#This Row],[Date]],"dddd")</f>
        <v>Friday</v>
      </c>
      <c r="J145" s="11" t="str">
        <f>TEXT(SalesData[[#This Row],[Date]],"mmm")</f>
        <v>Feb</v>
      </c>
      <c r="K145" s="20">
        <f>MONTH(SalesData[[#This Row],[Date]])</f>
        <v>2</v>
      </c>
    </row>
    <row r="146" spans="1:11" x14ac:dyDescent="0.3">
      <c r="A146" s="5">
        <v>45345</v>
      </c>
      <c r="B146" s="9" t="s">
        <v>8</v>
      </c>
      <c r="C146" s="9" t="s">
        <v>15</v>
      </c>
      <c r="D146" s="9" t="s">
        <v>30</v>
      </c>
      <c r="E146" s="7">
        <v>9</v>
      </c>
      <c r="F146" s="11">
        <v>571.79999999999995</v>
      </c>
      <c r="G146" s="11">
        <v>5146.2</v>
      </c>
      <c r="H146" s="11">
        <v>567.44000000000005</v>
      </c>
      <c r="I146" s="11" t="str">
        <f>TEXT(SalesData[[#This Row],[Date]],"dddd")</f>
        <v>Friday</v>
      </c>
      <c r="J146" s="11" t="str">
        <f>TEXT(SalesData[[#This Row],[Date]],"mmm")</f>
        <v>Feb</v>
      </c>
      <c r="K146" s="20">
        <f>MONTH(SalesData[[#This Row],[Date]])</f>
        <v>2</v>
      </c>
    </row>
    <row r="147" spans="1:11" x14ac:dyDescent="0.3">
      <c r="A147" s="5">
        <v>45345</v>
      </c>
      <c r="B147" s="9" t="s">
        <v>8</v>
      </c>
      <c r="C147" s="9" t="s">
        <v>15</v>
      </c>
      <c r="D147" s="9" t="s">
        <v>24</v>
      </c>
      <c r="E147" s="7">
        <v>2</v>
      </c>
      <c r="F147" s="11">
        <v>1367.94</v>
      </c>
      <c r="G147" s="11">
        <v>2735.88</v>
      </c>
      <c r="H147" s="11">
        <v>313.99</v>
      </c>
      <c r="I147" s="11" t="str">
        <f>TEXT(SalesData[[#This Row],[Date]],"dddd")</f>
        <v>Friday</v>
      </c>
      <c r="J147" s="11" t="str">
        <f>TEXT(SalesData[[#This Row],[Date]],"mmm")</f>
        <v>Feb</v>
      </c>
      <c r="K147" s="20">
        <f>MONTH(SalesData[[#This Row],[Date]])</f>
        <v>2</v>
      </c>
    </row>
    <row r="148" spans="1:11" x14ac:dyDescent="0.3">
      <c r="A148" s="5">
        <v>45346</v>
      </c>
      <c r="B148" s="9" t="s">
        <v>13</v>
      </c>
      <c r="C148" s="9" t="s">
        <v>17</v>
      </c>
      <c r="D148" s="9" t="s">
        <v>28</v>
      </c>
      <c r="E148" s="7">
        <v>5</v>
      </c>
      <c r="F148" s="11">
        <v>2306.85</v>
      </c>
      <c r="G148" s="11">
        <v>11534.25</v>
      </c>
      <c r="H148" s="11">
        <v>1233</v>
      </c>
      <c r="I148" s="11" t="str">
        <f>TEXT(SalesData[[#This Row],[Date]],"dddd")</f>
        <v>Saturday</v>
      </c>
      <c r="J148" s="11" t="str">
        <f>TEXT(SalesData[[#This Row],[Date]],"mmm")</f>
        <v>Feb</v>
      </c>
      <c r="K148" s="20">
        <f>MONTH(SalesData[[#This Row],[Date]])</f>
        <v>2</v>
      </c>
    </row>
    <row r="149" spans="1:11" x14ac:dyDescent="0.3">
      <c r="A149" s="5">
        <v>45347</v>
      </c>
      <c r="B149" s="9" t="s">
        <v>9</v>
      </c>
      <c r="C149" s="9" t="s">
        <v>15</v>
      </c>
      <c r="D149" s="9" t="s">
        <v>23</v>
      </c>
      <c r="E149" s="7">
        <v>7</v>
      </c>
      <c r="F149" s="11">
        <v>791.14</v>
      </c>
      <c r="G149" s="11">
        <v>5537.98</v>
      </c>
      <c r="H149" s="11">
        <v>995.04</v>
      </c>
      <c r="I149" s="11" t="str">
        <f>TEXT(SalesData[[#This Row],[Date]],"dddd")</f>
        <v>Sunday</v>
      </c>
      <c r="J149" s="11" t="str">
        <f>TEXT(SalesData[[#This Row],[Date]],"mmm")</f>
        <v>Feb</v>
      </c>
      <c r="K149" s="20">
        <f>MONTH(SalesData[[#This Row],[Date]])</f>
        <v>2</v>
      </c>
    </row>
    <row r="150" spans="1:11" x14ac:dyDescent="0.3">
      <c r="A150" s="5">
        <v>45347</v>
      </c>
      <c r="B150" s="9" t="s">
        <v>9</v>
      </c>
      <c r="C150" s="9" t="s">
        <v>16</v>
      </c>
      <c r="D150" s="9" t="s">
        <v>29</v>
      </c>
      <c r="E150" s="7">
        <v>3</v>
      </c>
      <c r="F150" s="11">
        <v>657.94</v>
      </c>
      <c r="G150" s="11">
        <v>1973.82</v>
      </c>
      <c r="H150" s="11">
        <v>455.21</v>
      </c>
      <c r="I150" s="11" t="str">
        <f>TEXT(SalesData[[#This Row],[Date]],"dddd")</f>
        <v>Sunday</v>
      </c>
      <c r="J150" s="11" t="str">
        <f>TEXT(SalesData[[#This Row],[Date]],"mmm")</f>
        <v>Feb</v>
      </c>
      <c r="K150" s="20">
        <f>MONTH(SalesData[[#This Row],[Date]])</f>
        <v>2</v>
      </c>
    </row>
    <row r="151" spans="1:11" x14ac:dyDescent="0.3">
      <c r="A151" s="5">
        <v>45347</v>
      </c>
      <c r="B151" s="9" t="s">
        <v>10</v>
      </c>
      <c r="C151" s="9" t="s">
        <v>16</v>
      </c>
      <c r="D151" s="9" t="s">
        <v>26</v>
      </c>
      <c r="E151" s="7">
        <v>10</v>
      </c>
      <c r="F151" s="11">
        <v>786.24</v>
      </c>
      <c r="G151" s="11">
        <v>7862.4</v>
      </c>
      <c r="H151" s="11">
        <v>1330.1</v>
      </c>
      <c r="I151" s="11" t="str">
        <f>TEXT(SalesData[[#This Row],[Date]],"dddd")</f>
        <v>Sunday</v>
      </c>
      <c r="J151" s="11" t="str">
        <f>TEXT(SalesData[[#This Row],[Date]],"mmm")</f>
        <v>Feb</v>
      </c>
      <c r="K151" s="20">
        <f>MONTH(SalesData[[#This Row],[Date]])</f>
        <v>2</v>
      </c>
    </row>
    <row r="152" spans="1:11" x14ac:dyDescent="0.3">
      <c r="A152" s="5">
        <v>45348</v>
      </c>
      <c r="B152" s="9" t="s">
        <v>12</v>
      </c>
      <c r="C152" s="9" t="s">
        <v>15</v>
      </c>
      <c r="D152" s="9" t="s">
        <v>22</v>
      </c>
      <c r="E152" s="7">
        <v>8</v>
      </c>
      <c r="F152" s="11">
        <v>2302.42</v>
      </c>
      <c r="G152" s="11">
        <v>18419.36</v>
      </c>
      <c r="H152" s="11">
        <v>3714.11</v>
      </c>
      <c r="I152" s="11" t="str">
        <f>TEXT(SalesData[[#This Row],[Date]],"dddd")</f>
        <v>Monday</v>
      </c>
      <c r="J152" s="11" t="str">
        <f>TEXT(SalesData[[#This Row],[Date]],"mmm")</f>
        <v>Feb</v>
      </c>
      <c r="K152" s="20">
        <f>MONTH(SalesData[[#This Row],[Date]])</f>
        <v>2</v>
      </c>
    </row>
    <row r="153" spans="1:11" x14ac:dyDescent="0.3">
      <c r="A153" s="5">
        <v>45348</v>
      </c>
      <c r="B153" s="9" t="s">
        <v>11</v>
      </c>
      <c r="C153" s="9" t="s">
        <v>14</v>
      </c>
      <c r="D153" s="9" t="s">
        <v>19</v>
      </c>
      <c r="E153" s="7">
        <v>6</v>
      </c>
      <c r="F153" s="11">
        <v>2475.3000000000002</v>
      </c>
      <c r="G153" s="11">
        <v>14851.8</v>
      </c>
      <c r="H153" s="11">
        <v>2151.63</v>
      </c>
      <c r="I153" s="11" t="str">
        <f>TEXT(SalesData[[#This Row],[Date]],"dddd")</f>
        <v>Monday</v>
      </c>
      <c r="J153" s="11" t="str">
        <f>TEXT(SalesData[[#This Row],[Date]],"mmm")</f>
        <v>Feb</v>
      </c>
      <c r="K153" s="20">
        <f>MONTH(SalesData[[#This Row],[Date]])</f>
        <v>2</v>
      </c>
    </row>
    <row r="154" spans="1:11" x14ac:dyDescent="0.3">
      <c r="A154" s="5">
        <v>45348</v>
      </c>
      <c r="B154" s="9" t="s">
        <v>11</v>
      </c>
      <c r="C154" s="9" t="s">
        <v>15</v>
      </c>
      <c r="D154" s="9" t="s">
        <v>30</v>
      </c>
      <c r="E154" s="7">
        <v>5</v>
      </c>
      <c r="F154" s="11">
        <v>898.43</v>
      </c>
      <c r="G154" s="11">
        <v>4492.1499999999996</v>
      </c>
      <c r="H154" s="11">
        <v>708.43</v>
      </c>
      <c r="I154" s="11" t="str">
        <f>TEXT(SalesData[[#This Row],[Date]],"dddd")</f>
        <v>Monday</v>
      </c>
      <c r="J154" s="11" t="str">
        <f>TEXT(SalesData[[#This Row],[Date]],"mmm")</f>
        <v>Feb</v>
      </c>
      <c r="K154" s="20">
        <f>MONTH(SalesData[[#This Row],[Date]])</f>
        <v>2</v>
      </c>
    </row>
    <row r="155" spans="1:11" x14ac:dyDescent="0.3">
      <c r="A155" s="5">
        <v>45348</v>
      </c>
      <c r="B155" s="9" t="s">
        <v>8</v>
      </c>
      <c r="C155" s="9" t="s">
        <v>14</v>
      </c>
      <c r="D155" s="9" t="s">
        <v>20</v>
      </c>
      <c r="E155" s="7">
        <v>7</v>
      </c>
      <c r="F155" s="11">
        <v>1643.85</v>
      </c>
      <c r="G155" s="11">
        <v>11506.95</v>
      </c>
      <c r="H155" s="11">
        <v>2142.84</v>
      </c>
      <c r="I155" s="11" t="str">
        <f>TEXT(SalesData[[#This Row],[Date]],"dddd")</f>
        <v>Monday</v>
      </c>
      <c r="J155" s="11" t="str">
        <f>TEXT(SalesData[[#This Row],[Date]],"mmm")</f>
        <v>Feb</v>
      </c>
      <c r="K155" s="20">
        <f>MONTH(SalesData[[#This Row],[Date]])</f>
        <v>2</v>
      </c>
    </row>
    <row r="156" spans="1:11" x14ac:dyDescent="0.3">
      <c r="A156" s="5">
        <v>45349</v>
      </c>
      <c r="B156" s="9" t="s">
        <v>8</v>
      </c>
      <c r="C156" s="9" t="s">
        <v>14</v>
      </c>
      <c r="D156" s="9" t="s">
        <v>19</v>
      </c>
      <c r="E156" s="7">
        <v>5</v>
      </c>
      <c r="F156" s="11">
        <v>516.20000000000005</v>
      </c>
      <c r="G156" s="11">
        <v>2581</v>
      </c>
      <c r="H156" s="11">
        <v>593.01</v>
      </c>
      <c r="I156" s="11" t="str">
        <f>TEXT(SalesData[[#This Row],[Date]],"dddd")</f>
        <v>Tuesday</v>
      </c>
      <c r="J156" s="11" t="str">
        <f>TEXT(SalesData[[#This Row],[Date]],"mmm")</f>
        <v>Feb</v>
      </c>
      <c r="K156" s="20">
        <f>MONTH(SalesData[[#This Row],[Date]])</f>
        <v>2</v>
      </c>
    </row>
    <row r="157" spans="1:11" x14ac:dyDescent="0.3">
      <c r="A157" s="5">
        <v>45349</v>
      </c>
      <c r="B157" s="9" t="s">
        <v>10</v>
      </c>
      <c r="C157" s="9" t="s">
        <v>14</v>
      </c>
      <c r="D157" s="9" t="s">
        <v>19</v>
      </c>
      <c r="E157" s="7">
        <v>5</v>
      </c>
      <c r="F157" s="11">
        <v>2051.48</v>
      </c>
      <c r="G157" s="11">
        <v>10257.4</v>
      </c>
      <c r="H157" s="11">
        <v>1379.8</v>
      </c>
      <c r="I157" s="11" t="str">
        <f>TEXT(SalesData[[#This Row],[Date]],"dddd")</f>
        <v>Tuesday</v>
      </c>
      <c r="J157" s="11" t="str">
        <f>TEXT(SalesData[[#This Row],[Date]],"mmm")</f>
        <v>Feb</v>
      </c>
      <c r="K157" s="20">
        <f>MONTH(SalesData[[#This Row],[Date]])</f>
        <v>2</v>
      </c>
    </row>
    <row r="158" spans="1:11" x14ac:dyDescent="0.3">
      <c r="A158" s="5">
        <v>45349</v>
      </c>
      <c r="B158" s="9" t="s">
        <v>8</v>
      </c>
      <c r="C158" s="9" t="s">
        <v>16</v>
      </c>
      <c r="D158" s="9" t="s">
        <v>25</v>
      </c>
      <c r="E158" s="7">
        <v>4</v>
      </c>
      <c r="F158" s="11">
        <v>1741.78</v>
      </c>
      <c r="G158" s="11">
        <v>6967.12</v>
      </c>
      <c r="H158" s="11">
        <v>1405.02</v>
      </c>
      <c r="I158" s="11" t="str">
        <f>TEXT(SalesData[[#This Row],[Date]],"dddd")</f>
        <v>Tuesday</v>
      </c>
      <c r="J158" s="11" t="str">
        <f>TEXT(SalesData[[#This Row],[Date]],"mmm")</f>
        <v>Feb</v>
      </c>
      <c r="K158" s="20">
        <f>MONTH(SalesData[[#This Row],[Date]])</f>
        <v>2</v>
      </c>
    </row>
    <row r="159" spans="1:11" x14ac:dyDescent="0.3">
      <c r="A159" s="5">
        <v>45350</v>
      </c>
      <c r="B159" s="9" t="s">
        <v>10</v>
      </c>
      <c r="C159" s="9" t="s">
        <v>14</v>
      </c>
      <c r="D159" s="9" t="s">
        <v>21</v>
      </c>
      <c r="E159" s="7">
        <v>5</v>
      </c>
      <c r="F159" s="11">
        <v>2077.2199999999998</v>
      </c>
      <c r="G159" s="11">
        <v>10386.1</v>
      </c>
      <c r="H159" s="11">
        <v>1090.5899999999999</v>
      </c>
      <c r="I159" s="11" t="str">
        <f>TEXT(SalesData[[#This Row],[Date]],"dddd")</f>
        <v>Wednesday</v>
      </c>
      <c r="J159" s="11" t="str">
        <f>TEXT(SalesData[[#This Row],[Date]],"mmm")</f>
        <v>Feb</v>
      </c>
      <c r="K159" s="20">
        <f>MONTH(SalesData[[#This Row],[Date]])</f>
        <v>2</v>
      </c>
    </row>
    <row r="160" spans="1:11" x14ac:dyDescent="0.3">
      <c r="A160" s="5">
        <v>45350</v>
      </c>
      <c r="B160" s="9" t="s">
        <v>12</v>
      </c>
      <c r="C160" s="9" t="s">
        <v>16</v>
      </c>
      <c r="D160" s="9" t="s">
        <v>29</v>
      </c>
      <c r="E160" s="7">
        <v>5</v>
      </c>
      <c r="F160" s="11">
        <v>1153.44</v>
      </c>
      <c r="G160" s="11">
        <v>5767.2</v>
      </c>
      <c r="H160" s="11">
        <v>936.16</v>
      </c>
      <c r="I160" s="11" t="str">
        <f>TEXT(SalesData[[#This Row],[Date]],"dddd")</f>
        <v>Wednesday</v>
      </c>
      <c r="J160" s="11" t="str">
        <f>TEXT(SalesData[[#This Row],[Date]],"mmm")</f>
        <v>Feb</v>
      </c>
      <c r="K160" s="20">
        <f>MONTH(SalesData[[#This Row],[Date]])</f>
        <v>2</v>
      </c>
    </row>
    <row r="161" spans="1:11" x14ac:dyDescent="0.3">
      <c r="A161" s="5">
        <v>45351</v>
      </c>
      <c r="B161" s="9" t="s">
        <v>11</v>
      </c>
      <c r="C161" s="9" t="s">
        <v>15</v>
      </c>
      <c r="D161" s="9" t="s">
        <v>23</v>
      </c>
      <c r="E161" s="7">
        <v>3</v>
      </c>
      <c r="F161" s="11">
        <v>1013.94</v>
      </c>
      <c r="G161" s="11">
        <v>3041.82</v>
      </c>
      <c r="H161" s="11">
        <v>680.47</v>
      </c>
      <c r="I161" s="11" t="str">
        <f>TEXT(SalesData[[#This Row],[Date]],"dddd")</f>
        <v>Thursday</v>
      </c>
      <c r="J161" s="11" t="str">
        <f>TEXT(SalesData[[#This Row],[Date]],"mmm")</f>
        <v>Feb</v>
      </c>
      <c r="K161" s="20">
        <f>MONTH(SalesData[[#This Row],[Date]])</f>
        <v>2</v>
      </c>
    </row>
    <row r="162" spans="1:11" x14ac:dyDescent="0.3">
      <c r="A162" s="5">
        <v>45351</v>
      </c>
      <c r="B162" s="9" t="s">
        <v>12</v>
      </c>
      <c r="C162" s="9" t="s">
        <v>15</v>
      </c>
      <c r="D162" s="9" t="s">
        <v>23</v>
      </c>
      <c r="E162" s="7">
        <v>2</v>
      </c>
      <c r="F162" s="11">
        <v>1436.66</v>
      </c>
      <c r="G162" s="11">
        <v>2873.32</v>
      </c>
      <c r="H162" s="11">
        <v>319.79000000000002</v>
      </c>
      <c r="I162" s="11" t="str">
        <f>TEXT(SalesData[[#This Row],[Date]],"dddd")</f>
        <v>Thursday</v>
      </c>
      <c r="J162" s="11" t="str">
        <f>TEXT(SalesData[[#This Row],[Date]],"mmm")</f>
        <v>Feb</v>
      </c>
      <c r="K162" s="20">
        <f>MONTH(SalesData[[#This Row],[Date]])</f>
        <v>2</v>
      </c>
    </row>
    <row r="163" spans="1:11" x14ac:dyDescent="0.3">
      <c r="A163" s="5">
        <v>45352</v>
      </c>
      <c r="B163" s="9" t="s">
        <v>11</v>
      </c>
      <c r="C163" s="9" t="s">
        <v>15</v>
      </c>
      <c r="D163" s="9" t="s">
        <v>22</v>
      </c>
      <c r="E163" s="7">
        <v>7</v>
      </c>
      <c r="F163" s="11">
        <v>527.84</v>
      </c>
      <c r="G163" s="11">
        <v>3694.88</v>
      </c>
      <c r="H163" s="11">
        <v>666.87</v>
      </c>
      <c r="I163" s="11" t="str">
        <f>TEXT(SalesData[[#This Row],[Date]],"dddd")</f>
        <v>Friday</v>
      </c>
      <c r="J163" s="11" t="str">
        <f>TEXT(SalesData[[#This Row],[Date]],"mmm")</f>
        <v>Mar</v>
      </c>
      <c r="K163" s="20">
        <f>MONTH(SalesData[[#This Row],[Date]])</f>
        <v>3</v>
      </c>
    </row>
    <row r="164" spans="1:11" x14ac:dyDescent="0.3">
      <c r="A164" s="5">
        <v>45352</v>
      </c>
      <c r="B164" s="9" t="s">
        <v>10</v>
      </c>
      <c r="C164" s="9" t="s">
        <v>15</v>
      </c>
      <c r="D164" s="9" t="s">
        <v>23</v>
      </c>
      <c r="E164" s="7">
        <v>10</v>
      </c>
      <c r="F164" s="11">
        <v>1262.05</v>
      </c>
      <c r="G164" s="11">
        <v>12620.5</v>
      </c>
      <c r="H164" s="11">
        <v>2470.87</v>
      </c>
      <c r="I164" s="11" t="str">
        <f>TEXT(SalesData[[#This Row],[Date]],"dddd")</f>
        <v>Friday</v>
      </c>
      <c r="J164" s="11" t="str">
        <f>TEXT(SalesData[[#This Row],[Date]],"mmm")</f>
        <v>Mar</v>
      </c>
      <c r="K164" s="20">
        <f>MONTH(SalesData[[#This Row],[Date]])</f>
        <v>3</v>
      </c>
    </row>
    <row r="165" spans="1:11" x14ac:dyDescent="0.3">
      <c r="A165" s="5">
        <v>45352</v>
      </c>
      <c r="B165" s="9" t="s">
        <v>9</v>
      </c>
      <c r="C165" s="9" t="s">
        <v>14</v>
      </c>
      <c r="D165" s="9" t="s">
        <v>20</v>
      </c>
      <c r="E165" s="7">
        <v>8</v>
      </c>
      <c r="F165" s="11">
        <v>550.04999999999995</v>
      </c>
      <c r="G165" s="11">
        <v>4400.3999999999996</v>
      </c>
      <c r="H165" s="11">
        <v>1023.69</v>
      </c>
      <c r="I165" s="11" t="str">
        <f>TEXT(SalesData[[#This Row],[Date]],"dddd")</f>
        <v>Friday</v>
      </c>
      <c r="J165" s="11" t="str">
        <f>TEXT(SalesData[[#This Row],[Date]],"mmm")</f>
        <v>Mar</v>
      </c>
      <c r="K165" s="20">
        <f>MONTH(SalesData[[#This Row],[Date]])</f>
        <v>3</v>
      </c>
    </row>
    <row r="166" spans="1:11" x14ac:dyDescent="0.3">
      <c r="A166" s="5">
        <v>45352</v>
      </c>
      <c r="B166" s="9" t="s">
        <v>8</v>
      </c>
      <c r="C166" s="9" t="s">
        <v>15</v>
      </c>
      <c r="D166" s="9" t="s">
        <v>24</v>
      </c>
      <c r="E166" s="7">
        <v>2</v>
      </c>
      <c r="F166" s="11">
        <v>1770.81</v>
      </c>
      <c r="G166" s="11">
        <v>3541.62</v>
      </c>
      <c r="H166" s="11">
        <v>600.79999999999995</v>
      </c>
      <c r="I166" s="11" t="str">
        <f>TEXT(SalesData[[#This Row],[Date]],"dddd")</f>
        <v>Friday</v>
      </c>
      <c r="J166" s="11" t="str">
        <f>TEXT(SalesData[[#This Row],[Date]],"mmm")</f>
        <v>Mar</v>
      </c>
      <c r="K166" s="20">
        <f>MONTH(SalesData[[#This Row],[Date]])</f>
        <v>3</v>
      </c>
    </row>
    <row r="167" spans="1:11" x14ac:dyDescent="0.3">
      <c r="A167" s="5">
        <v>45353</v>
      </c>
      <c r="B167" s="9" t="s">
        <v>11</v>
      </c>
      <c r="C167" s="9" t="s">
        <v>17</v>
      </c>
      <c r="D167" s="9" t="s">
        <v>28</v>
      </c>
      <c r="E167" s="7">
        <v>3</v>
      </c>
      <c r="F167" s="11">
        <v>590.69000000000005</v>
      </c>
      <c r="G167" s="11">
        <v>1772.07</v>
      </c>
      <c r="H167" s="11">
        <v>187.1</v>
      </c>
      <c r="I167" s="11" t="str">
        <f>TEXT(SalesData[[#This Row],[Date]],"dddd")</f>
        <v>Saturday</v>
      </c>
      <c r="J167" s="11" t="str">
        <f>TEXT(SalesData[[#This Row],[Date]],"mmm")</f>
        <v>Mar</v>
      </c>
      <c r="K167" s="20">
        <f>MONTH(SalesData[[#This Row],[Date]])</f>
        <v>3</v>
      </c>
    </row>
    <row r="168" spans="1:11" x14ac:dyDescent="0.3">
      <c r="A168" s="5">
        <v>45353</v>
      </c>
      <c r="B168" s="9" t="s">
        <v>11</v>
      </c>
      <c r="C168" s="9" t="s">
        <v>14</v>
      </c>
      <c r="D168" s="9" t="s">
        <v>21</v>
      </c>
      <c r="E168" s="7">
        <v>4</v>
      </c>
      <c r="F168" s="11">
        <v>2274.52</v>
      </c>
      <c r="G168" s="11">
        <v>9098.08</v>
      </c>
      <c r="H168" s="11">
        <v>1094.95</v>
      </c>
      <c r="I168" s="11" t="str">
        <f>TEXT(SalesData[[#This Row],[Date]],"dddd")</f>
        <v>Saturday</v>
      </c>
      <c r="J168" s="11" t="str">
        <f>TEXT(SalesData[[#This Row],[Date]],"mmm")</f>
        <v>Mar</v>
      </c>
      <c r="K168" s="20">
        <f>MONTH(SalesData[[#This Row],[Date]])</f>
        <v>3</v>
      </c>
    </row>
    <row r="169" spans="1:11" x14ac:dyDescent="0.3">
      <c r="A169" s="5">
        <v>45353</v>
      </c>
      <c r="B169" s="9" t="s">
        <v>11</v>
      </c>
      <c r="C169" s="9" t="s">
        <v>15</v>
      </c>
      <c r="D169" s="9" t="s">
        <v>30</v>
      </c>
      <c r="E169" s="7">
        <v>10</v>
      </c>
      <c r="F169" s="11">
        <v>1984.54</v>
      </c>
      <c r="G169" s="11">
        <v>19845.400000000001</v>
      </c>
      <c r="H169" s="11">
        <v>2444.5300000000002</v>
      </c>
      <c r="I169" s="11" t="str">
        <f>TEXT(SalesData[[#This Row],[Date]],"dddd")</f>
        <v>Saturday</v>
      </c>
      <c r="J169" s="11" t="str">
        <f>TEXT(SalesData[[#This Row],[Date]],"mmm")</f>
        <v>Mar</v>
      </c>
      <c r="K169" s="20">
        <f>MONTH(SalesData[[#This Row],[Date]])</f>
        <v>3</v>
      </c>
    </row>
    <row r="170" spans="1:11" x14ac:dyDescent="0.3">
      <c r="A170" s="5">
        <v>45354</v>
      </c>
      <c r="B170" s="9" t="s">
        <v>11</v>
      </c>
      <c r="C170" s="9" t="s">
        <v>17</v>
      </c>
      <c r="D170" s="9" t="s">
        <v>27</v>
      </c>
      <c r="E170" s="7">
        <v>5</v>
      </c>
      <c r="F170" s="11">
        <v>565.42999999999995</v>
      </c>
      <c r="G170" s="11">
        <v>2827.15</v>
      </c>
      <c r="H170" s="11">
        <v>439.85</v>
      </c>
      <c r="I170" s="11" t="str">
        <f>TEXT(SalesData[[#This Row],[Date]],"dddd")</f>
        <v>Sunday</v>
      </c>
      <c r="J170" s="11" t="str">
        <f>TEXT(SalesData[[#This Row],[Date]],"mmm")</f>
        <v>Mar</v>
      </c>
      <c r="K170" s="20">
        <f>MONTH(SalesData[[#This Row],[Date]])</f>
        <v>3</v>
      </c>
    </row>
    <row r="171" spans="1:11" x14ac:dyDescent="0.3">
      <c r="A171" s="5">
        <v>45355</v>
      </c>
      <c r="B171" s="9" t="s">
        <v>8</v>
      </c>
      <c r="C171" s="9" t="s">
        <v>16</v>
      </c>
      <c r="D171" s="9" t="s">
        <v>26</v>
      </c>
      <c r="E171" s="7">
        <v>2</v>
      </c>
      <c r="F171" s="11">
        <v>2461.86</v>
      </c>
      <c r="G171" s="11">
        <v>4923.72</v>
      </c>
      <c r="H171" s="11">
        <v>763.67</v>
      </c>
      <c r="I171" s="11" t="str">
        <f>TEXT(SalesData[[#This Row],[Date]],"dddd")</f>
        <v>Monday</v>
      </c>
      <c r="J171" s="11" t="str">
        <f>TEXT(SalesData[[#This Row],[Date]],"mmm")</f>
        <v>Mar</v>
      </c>
      <c r="K171" s="20">
        <f>MONTH(SalesData[[#This Row],[Date]])</f>
        <v>3</v>
      </c>
    </row>
    <row r="172" spans="1:11" x14ac:dyDescent="0.3">
      <c r="A172" s="5">
        <v>45355</v>
      </c>
      <c r="B172" s="9" t="s">
        <v>11</v>
      </c>
      <c r="C172" s="9" t="s">
        <v>15</v>
      </c>
      <c r="D172" s="9" t="s">
        <v>22</v>
      </c>
      <c r="E172" s="7">
        <v>7</v>
      </c>
      <c r="F172" s="11">
        <v>1051.76</v>
      </c>
      <c r="G172" s="11">
        <v>7362.32</v>
      </c>
      <c r="H172" s="11">
        <v>1805.47</v>
      </c>
      <c r="I172" s="11" t="str">
        <f>TEXT(SalesData[[#This Row],[Date]],"dddd")</f>
        <v>Monday</v>
      </c>
      <c r="J172" s="11" t="str">
        <f>TEXT(SalesData[[#This Row],[Date]],"mmm")</f>
        <v>Mar</v>
      </c>
      <c r="K172" s="20">
        <f>MONTH(SalesData[[#This Row],[Date]])</f>
        <v>3</v>
      </c>
    </row>
    <row r="173" spans="1:11" x14ac:dyDescent="0.3">
      <c r="A173" s="5">
        <v>45355</v>
      </c>
      <c r="B173" s="9" t="s">
        <v>10</v>
      </c>
      <c r="C173" s="9" t="s">
        <v>14</v>
      </c>
      <c r="D173" s="9" t="s">
        <v>20</v>
      </c>
      <c r="E173" s="7">
        <v>10</v>
      </c>
      <c r="F173" s="11">
        <v>2442.19</v>
      </c>
      <c r="G173" s="11">
        <v>24421.9</v>
      </c>
      <c r="H173" s="11">
        <v>2627.47</v>
      </c>
      <c r="I173" s="11" t="str">
        <f>TEXT(SalesData[[#This Row],[Date]],"dddd")</f>
        <v>Monday</v>
      </c>
      <c r="J173" s="11" t="str">
        <f>TEXT(SalesData[[#This Row],[Date]],"mmm")</f>
        <v>Mar</v>
      </c>
      <c r="K173" s="20">
        <f>MONTH(SalesData[[#This Row],[Date]])</f>
        <v>3</v>
      </c>
    </row>
    <row r="174" spans="1:11" x14ac:dyDescent="0.3">
      <c r="A174" s="5">
        <v>45355</v>
      </c>
      <c r="B174" s="9" t="s">
        <v>9</v>
      </c>
      <c r="C174" s="9" t="s">
        <v>16</v>
      </c>
      <c r="D174" s="9" t="s">
        <v>29</v>
      </c>
      <c r="E174" s="7">
        <v>10</v>
      </c>
      <c r="F174" s="11">
        <v>910.41</v>
      </c>
      <c r="G174" s="11">
        <v>9104.1</v>
      </c>
      <c r="H174" s="11">
        <v>2043.62</v>
      </c>
      <c r="I174" s="11" t="str">
        <f>TEXT(SalesData[[#This Row],[Date]],"dddd")</f>
        <v>Monday</v>
      </c>
      <c r="J174" s="11" t="str">
        <f>TEXT(SalesData[[#This Row],[Date]],"mmm")</f>
        <v>Mar</v>
      </c>
      <c r="K174" s="20">
        <f>MONTH(SalesData[[#This Row],[Date]])</f>
        <v>3</v>
      </c>
    </row>
    <row r="175" spans="1:11" x14ac:dyDescent="0.3">
      <c r="A175" s="5">
        <v>45356</v>
      </c>
      <c r="B175" s="9" t="s">
        <v>9</v>
      </c>
      <c r="C175" s="9" t="s">
        <v>16</v>
      </c>
      <c r="D175" s="9" t="s">
        <v>29</v>
      </c>
      <c r="E175" s="7">
        <v>6</v>
      </c>
      <c r="F175" s="11">
        <v>2048.7399999999998</v>
      </c>
      <c r="G175" s="11">
        <v>12292.44</v>
      </c>
      <c r="H175" s="11">
        <v>2683.4</v>
      </c>
      <c r="I175" s="11" t="str">
        <f>TEXT(SalesData[[#This Row],[Date]],"dddd")</f>
        <v>Tuesday</v>
      </c>
      <c r="J175" s="11" t="str">
        <f>TEXT(SalesData[[#This Row],[Date]],"mmm")</f>
        <v>Mar</v>
      </c>
      <c r="K175" s="20">
        <f>MONTH(SalesData[[#This Row],[Date]])</f>
        <v>3</v>
      </c>
    </row>
    <row r="176" spans="1:11" x14ac:dyDescent="0.3">
      <c r="A176" s="5">
        <v>45356</v>
      </c>
      <c r="B176" s="9" t="s">
        <v>12</v>
      </c>
      <c r="C176" s="9" t="s">
        <v>14</v>
      </c>
      <c r="D176" s="9" t="s">
        <v>18</v>
      </c>
      <c r="E176" s="7">
        <v>3</v>
      </c>
      <c r="F176" s="11">
        <v>2475.0500000000002</v>
      </c>
      <c r="G176" s="11">
        <v>7425.15</v>
      </c>
      <c r="H176" s="11">
        <v>1344.19</v>
      </c>
      <c r="I176" s="11" t="str">
        <f>TEXT(SalesData[[#This Row],[Date]],"dddd")</f>
        <v>Tuesday</v>
      </c>
      <c r="J176" s="11" t="str">
        <f>TEXT(SalesData[[#This Row],[Date]],"mmm")</f>
        <v>Mar</v>
      </c>
      <c r="K176" s="20">
        <f>MONTH(SalesData[[#This Row],[Date]])</f>
        <v>3</v>
      </c>
    </row>
    <row r="177" spans="1:11" x14ac:dyDescent="0.3">
      <c r="A177" s="5">
        <v>45357</v>
      </c>
      <c r="B177" s="9" t="s">
        <v>9</v>
      </c>
      <c r="C177" s="9" t="s">
        <v>14</v>
      </c>
      <c r="D177" s="9" t="s">
        <v>20</v>
      </c>
      <c r="E177" s="7">
        <v>1</v>
      </c>
      <c r="F177" s="11">
        <v>1216.48</v>
      </c>
      <c r="G177" s="11">
        <v>1216.48</v>
      </c>
      <c r="H177" s="11">
        <v>265.51</v>
      </c>
      <c r="I177" s="11" t="str">
        <f>TEXT(SalesData[[#This Row],[Date]],"dddd")</f>
        <v>Wednesday</v>
      </c>
      <c r="J177" s="11" t="str">
        <f>TEXT(SalesData[[#This Row],[Date]],"mmm")</f>
        <v>Mar</v>
      </c>
      <c r="K177" s="20">
        <f>MONTH(SalesData[[#This Row],[Date]])</f>
        <v>3</v>
      </c>
    </row>
    <row r="178" spans="1:11" x14ac:dyDescent="0.3">
      <c r="A178" s="5">
        <v>45358</v>
      </c>
      <c r="B178" s="9" t="s">
        <v>9</v>
      </c>
      <c r="C178" s="9" t="s">
        <v>14</v>
      </c>
      <c r="D178" s="9" t="s">
        <v>20</v>
      </c>
      <c r="E178" s="7">
        <v>5</v>
      </c>
      <c r="F178" s="11">
        <v>604.79999999999995</v>
      </c>
      <c r="G178" s="11">
        <v>3024</v>
      </c>
      <c r="H178" s="11">
        <v>638.84</v>
      </c>
      <c r="I178" s="11" t="str">
        <f>TEXT(SalesData[[#This Row],[Date]],"dddd")</f>
        <v>Thursday</v>
      </c>
      <c r="J178" s="11" t="str">
        <f>TEXT(SalesData[[#This Row],[Date]],"mmm")</f>
        <v>Mar</v>
      </c>
      <c r="K178" s="20">
        <f>MONTH(SalesData[[#This Row],[Date]])</f>
        <v>3</v>
      </c>
    </row>
    <row r="179" spans="1:11" x14ac:dyDescent="0.3">
      <c r="A179" s="5">
        <v>45358</v>
      </c>
      <c r="B179" s="9" t="s">
        <v>9</v>
      </c>
      <c r="C179" s="9" t="s">
        <v>14</v>
      </c>
      <c r="D179" s="9" t="s">
        <v>21</v>
      </c>
      <c r="E179" s="7">
        <v>8</v>
      </c>
      <c r="F179" s="11">
        <v>1396.55</v>
      </c>
      <c r="G179" s="11">
        <v>11172.4</v>
      </c>
      <c r="H179" s="11">
        <v>1723.97</v>
      </c>
      <c r="I179" s="11" t="str">
        <f>TEXT(SalesData[[#This Row],[Date]],"dddd")</f>
        <v>Thursday</v>
      </c>
      <c r="J179" s="11" t="str">
        <f>TEXT(SalesData[[#This Row],[Date]],"mmm")</f>
        <v>Mar</v>
      </c>
      <c r="K179" s="20">
        <f>MONTH(SalesData[[#This Row],[Date]])</f>
        <v>3</v>
      </c>
    </row>
    <row r="180" spans="1:11" x14ac:dyDescent="0.3">
      <c r="A180" s="5">
        <v>45358</v>
      </c>
      <c r="B180" s="9" t="s">
        <v>8</v>
      </c>
      <c r="C180" s="9" t="s">
        <v>14</v>
      </c>
      <c r="D180" s="9" t="s">
        <v>19</v>
      </c>
      <c r="E180" s="7">
        <v>9</v>
      </c>
      <c r="F180" s="11">
        <v>943.1</v>
      </c>
      <c r="G180" s="11">
        <v>8487.9</v>
      </c>
      <c r="H180" s="11">
        <v>1631.93</v>
      </c>
      <c r="I180" s="11" t="str">
        <f>TEXT(SalesData[[#This Row],[Date]],"dddd")</f>
        <v>Thursday</v>
      </c>
      <c r="J180" s="11" t="str">
        <f>TEXT(SalesData[[#This Row],[Date]],"mmm")</f>
        <v>Mar</v>
      </c>
      <c r="K180" s="20">
        <f>MONTH(SalesData[[#This Row],[Date]])</f>
        <v>3</v>
      </c>
    </row>
    <row r="181" spans="1:11" x14ac:dyDescent="0.3">
      <c r="A181" s="5">
        <v>45359</v>
      </c>
      <c r="B181" s="9" t="s">
        <v>11</v>
      </c>
      <c r="C181" s="9" t="s">
        <v>15</v>
      </c>
      <c r="D181" s="9" t="s">
        <v>30</v>
      </c>
      <c r="E181" s="7">
        <v>1</v>
      </c>
      <c r="F181" s="11">
        <v>621.65</v>
      </c>
      <c r="G181" s="11">
        <v>621.65</v>
      </c>
      <c r="H181" s="11">
        <v>106.83</v>
      </c>
      <c r="I181" s="11" t="str">
        <f>TEXT(SalesData[[#This Row],[Date]],"dddd")</f>
        <v>Friday</v>
      </c>
      <c r="J181" s="11" t="str">
        <f>TEXT(SalesData[[#This Row],[Date]],"mmm")</f>
        <v>Mar</v>
      </c>
      <c r="K181" s="20">
        <f>MONTH(SalesData[[#This Row],[Date]])</f>
        <v>3</v>
      </c>
    </row>
    <row r="182" spans="1:11" x14ac:dyDescent="0.3">
      <c r="A182" s="5">
        <v>45359</v>
      </c>
      <c r="B182" s="9" t="s">
        <v>13</v>
      </c>
      <c r="C182" s="9" t="s">
        <v>17</v>
      </c>
      <c r="D182" s="9" t="s">
        <v>28</v>
      </c>
      <c r="E182" s="7">
        <v>8</v>
      </c>
      <c r="F182" s="11">
        <v>1924.8</v>
      </c>
      <c r="G182" s="11">
        <v>15398.4</v>
      </c>
      <c r="H182" s="11">
        <v>2564.36</v>
      </c>
      <c r="I182" s="11" t="str">
        <f>TEXT(SalesData[[#This Row],[Date]],"dddd")</f>
        <v>Friday</v>
      </c>
      <c r="J182" s="11" t="str">
        <f>TEXT(SalesData[[#This Row],[Date]],"mmm")</f>
        <v>Mar</v>
      </c>
      <c r="K182" s="20">
        <f>MONTH(SalesData[[#This Row],[Date]])</f>
        <v>3</v>
      </c>
    </row>
    <row r="183" spans="1:11" x14ac:dyDescent="0.3">
      <c r="A183" s="5">
        <v>45359</v>
      </c>
      <c r="B183" s="9" t="s">
        <v>9</v>
      </c>
      <c r="C183" s="9" t="s">
        <v>15</v>
      </c>
      <c r="D183" s="9" t="s">
        <v>24</v>
      </c>
      <c r="E183" s="7">
        <v>2</v>
      </c>
      <c r="F183" s="11">
        <v>752.38</v>
      </c>
      <c r="G183" s="11">
        <v>1504.76</v>
      </c>
      <c r="H183" s="11">
        <v>291.39</v>
      </c>
      <c r="I183" s="11" t="str">
        <f>TEXT(SalesData[[#This Row],[Date]],"dddd")</f>
        <v>Friday</v>
      </c>
      <c r="J183" s="11" t="str">
        <f>TEXT(SalesData[[#This Row],[Date]],"mmm")</f>
        <v>Mar</v>
      </c>
      <c r="K183" s="20">
        <f>MONTH(SalesData[[#This Row],[Date]])</f>
        <v>3</v>
      </c>
    </row>
    <row r="184" spans="1:11" x14ac:dyDescent="0.3">
      <c r="A184" s="5">
        <v>45359</v>
      </c>
      <c r="B184" s="9" t="s">
        <v>9</v>
      </c>
      <c r="C184" s="9" t="s">
        <v>15</v>
      </c>
      <c r="D184" s="9" t="s">
        <v>30</v>
      </c>
      <c r="E184" s="7">
        <v>10</v>
      </c>
      <c r="F184" s="11">
        <v>1561.11</v>
      </c>
      <c r="G184" s="11">
        <v>15611.1</v>
      </c>
      <c r="H184" s="11">
        <v>2623.56</v>
      </c>
      <c r="I184" s="11" t="str">
        <f>TEXT(SalesData[[#This Row],[Date]],"dddd")</f>
        <v>Friday</v>
      </c>
      <c r="J184" s="11" t="str">
        <f>TEXT(SalesData[[#This Row],[Date]],"mmm")</f>
        <v>Mar</v>
      </c>
      <c r="K184" s="20">
        <f>MONTH(SalesData[[#This Row],[Date]])</f>
        <v>3</v>
      </c>
    </row>
    <row r="185" spans="1:11" x14ac:dyDescent="0.3">
      <c r="A185" s="5">
        <v>45359</v>
      </c>
      <c r="B185" s="9" t="s">
        <v>9</v>
      </c>
      <c r="C185" s="9" t="s">
        <v>17</v>
      </c>
      <c r="D185" s="9" t="s">
        <v>28</v>
      </c>
      <c r="E185" s="7">
        <v>2</v>
      </c>
      <c r="F185" s="11">
        <v>2205.59</v>
      </c>
      <c r="G185" s="11">
        <v>4411.18</v>
      </c>
      <c r="H185" s="11">
        <v>871.81</v>
      </c>
      <c r="I185" s="11" t="str">
        <f>TEXT(SalesData[[#This Row],[Date]],"dddd")</f>
        <v>Friday</v>
      </c>
      <c r="J185" s="11" t="str">
        <f>TEXT(SalesData[[#This Row],[Date]],"mmm")</f>
        <v>Mar</v>
      </c>
      <c r="K185" s="20">
        <f>MONTH(SalesData[[#This Row],[Date]])</f>
        <v>3</v>
      </c>
    </row>
    <row r="186" spans="1:11" x14ac:dyDescent="0.3">
      <c r="A186" s="5">
        <v>45360</v>
      </c>
      <c r="B186" s="9" t="s">
        <v>11</v>
      </c>
      <c r="C186" s="9" t="s">
        <v>17</v>
      </c>
      <c r="D186" s="9" t="s">
        <v>27</v>
      </c>
      <c r="E186" s="7">
        <v>4</v>
      </c>
      <c r="F186" s="11">
        <v>1327.63</v>
      </c>
      <c r="G186" s="11">
        <v>5310.52</v>
      </c>
      <c r="H186" s="11">
        <v>1190.1600000000001</v>
      </c>
      <c r="I186" s="11" t="str">
        <f>TEXT(SalesData[[#This Row],[Date]],"dddd")</f>
        <v>Saturday</v>
      </c>
      <c r="J186" s="11" t="str">
        <f>TEXT(SalesData[[#This Row],[Date]],"mmm")</f>
        <v>Mar</v>
      </c>
      <c r="K186" s="20">
        <f>MONTH(SalesData[[#This Row],[Date]])</f>
        <v>3</v>
      </c>
    </row>
    <row r="187" spans="1:11" x14ac:dyDescent="0.3">
      <c r="A187" s="5">
        <v>45360</v>
      </c>
      <c r="B187" s="9" t="s">
        <v>10</v>
      </c>
      <c r="C187" s="9" t="s">
        <v>17</v>
      </c>
      <c r="D187" s="9" t="s">
        <v>28</v>
      </c>
      <c r="E187" s="7">
        <v>6</v>
      </c>
      <c r="F187" s="11">
        <v>1353.53</v>
      </c>
      <c r="G187" s="11">
        <v>8121.18</v>
      </c>
      <c r="H187" s="11">
        <v>1622.34</v>
      </c>
      <c r="I187" s="11" t="str">
        <f>TEXT(SalesData[[#This Row],[Date]],"dddd")</f>
        <v>Saturday</v>
      </c>
      <c r="J187" s="11" t="str">
        <f>TEXT(SalesData[[#This Row],[Date]],"mmm")</f>
        <v>Mar</v>
      </c>
      <c r="K187" s="20">
        <f>MONTH(SalesData[[#This Row],[Date]])</f>
        <v>3</v>
      </c>
    </row>
    <row r="188" spans="1:11" x14ac:dyDescent="0.3">
      <c r="A188" s="5">
        <v>45361</v>
      </c>
      <c r="B188" s="9" t="s">
        <v>13</v>
      </c>
      <c r="C188" s="9" t="s">
        <v>17</v>
      </c>
      <c r="D188" s="9" t="s">
        <v>28</v>
      </c>
      <c r="E188" s="7">
        <v>2</v>
      </c>
      <c r="F188" s="11">
        <v>2163.54</v>
      </c>
      <c r="G188" s="11">
        <v>4327.08</v>
      </c>
      <c r="H188" s="11">
        <v>493.22</v>
      </c>
      <c r="I188" s="11" t="str">
        <f>TEXT(SalesData[[#This Row],[Date]],"dddd")</f>
        <v>Sunday</v>
      </c>
      <c r="J188" s="11" t="str">
        <f>TEXT(SalesData[[#This Row],[Date]],"mmm")</f>
        <v>Mar</v>
      </c>
      <c r="K188" s="20">
        <f>MONTH(SalesData[[#This Row],[Date]])</f>
        <v>3</v>
      </c>
    </row>
    <row r="189" spans="1:11" x14ac:dyDescent="0.3">
      <c r="A189" s="5">
        <v>45361</v>
      </c>
      <c r="B189" s="9" t="s">
        <v>9</v>
      </c>
      <c r="C189" s="9" t="s">
        <v>15</v>
      </c>
      <c r="D189" s="9" t="s">
        <v>24</v>
      </c>
      <c r="E189" s="7">
        <v>9</v>
      </c>
      <c r="F189" s="11">
        <v>619.96</v>
      </c>
      <c r="G189" s="11">
        <v>5579.64</v>
      </c>
      <c r="H189" s="11">
        <v>1358.61</v>
      </c>
      <c r="I189" s="11" t="str">
        <f>TEXT(SalesData[[#This Row],[Date]],"dddd")</f>
        <v>Sunday</v>
      </c>
      <c r="J189" s="11" t="str">
        <f>TEXT(SalesData[[#This Row],[Date]],"mmm")</f>
        <v>Mar</v>
      </c>
      <c r="K189" s="20">
        <f>MONTH(SalesData[[#This Row],[Date]])</f>
        <v>3</v>
      </c>
    </row>
    <row r="190" spans="1:11" x14ac:dyDescent="0.3">
      <c r="A190" s="5">
        <v>45362</v>
      </c>
      <c r="B190" s="9" t="s">
        <v>11</v>
      </c>
      <c r="C190" s="9" t="s">
        <v>14</v>
      </c>
      <c r="D190" s="9" t="s">
        <v>19</v>
      </c>
      <c r="E190" s="7">
        <v>6</v>
      </c>
      <c r="F190" s="11">
        <v>2247.21</v>
      </c>
      <c r="G190" s="11">
        <v>13483.26</v>
      </c>
      <c r="H190" s="11">
        <v>3251.75</v>
      </c>
      <c r="I190" s="11" t="str">
        <f>TEXT(SalesData[[#This Row],[Date]],"dddd")</f>
        <v>Monday</v>
      </c>
      <c r="J190" s="11" t="str">
        <f>TEXT(SalesData[[#This Row],[Date]],"mmm")</f>
        <v>Mar</v>
      </c>
      <c r="K190" s="20">
        <f>MONTH(SalesData[[#This Row],[Date]])</f>
        <v>3</v>
      </c>
    </row>
    <row r="191" spans="1:11" x14ac:dyDescent="0.3">
      <c r="A191" s="5">
        <v>45362</v>
      </c>
      <c r="B191" s="9" t="s">
        <v>9</v>
      </c>
      <c r="C191" s="9" t="s">
        <v>14</v>
      </c>
      <c r="D191" s="9" t="s">
        <v>18</v>
      </c>
      <c r="E191" s="7">
        <v>10</v>
      </c>
      <c r="F191" s="11">
        <v>1124.9000000000001</v>
      </c>
      <c r="G191" s="11">
        <v>11249</v>
      </c>
      <c r="H191" s="11">
        <v>1299.71</v>
      </c>
      <c r="I191" s="11" t="str">
        <f>TEXT(SalesData[[#This Row],[Date]],"dddd")</f>
        <v>Monday</v>
      </c>
      <c r="J191" s="11" t="str">
        <f>TEXT(SalesData[[#This Row],[Date]],"mmm")</f>
        <v>Mar</v>
      </c>
      <c r="K191" s="20">
        <f>MONTH(SalesData[[#This Row],[Date]])</f>
        <v>3</v>
      </c>
    </row>
    <row r="192" spans="1:11" x14ac:dyDescent="0.3">
      <c r="A192" s="5">
        <v>45362</v>
      </c>
      <c r="B192" s="9" t="s">
        <v>9</v>
      </c>
      <c r="C192" s="9" t="s">
        <v>16</v>
      </c>
      <c r="D192" s="9" t="s">
        <v>29</v>
      </c>
      <c r="E192" s="7">
        <v>8</v>
      </c>
      <c r="F192" s="11">
        <v>948.49</v>
      </c>
      <c r="G192" s="11">
        <v>7587.92</v>
      </c>
      <c r="H192" s="11">
        <v>881.96</v>
      </c>
      <c r="I192" s="11" t="str">
        <f>TEXT(SalesData[[#This Row],[Date]],"dddd")</f>
        <v>Monday</v>
      </c>
      <c r="J192" s="11" t="str">
        <f>TEXT(SalesData[[#This Row],[Date]],"mmm")</f>
        <v>Mar</v>
      </c>
      <c r="K192" s="20">
        <f>MONTH(SalesData[[#This Row],[Date]])</f>
        <v>3</v>
      </c>
    </row>
    <row r="193" spans="1:11" x14ac:dyDescent="0.3">
      <c r="A193" s="5">
        <v>45363</v>
      </c>
      <c r="B193" s="9" t="s">
        <v>9</v>
      </c>
      <c r="C193" s="9" t="s">
        <v>14</v>
      </c>
      <c r="D193" s="9" t="s">
        <v>18</v>
      </c>
      <c r="E193" s="7">
        <v>10</v>
      </c>
      <c r="F193" s="11">
        <v>952.32</v>
      </c>
      <c r="G193" s="11">
        <v>9523.2000000000007</v>
      </c>
      <c r="H193" s="11">
        <v>1565.3</v>
      </c>
      <c r="I193" s="11" t="str">
        <f>TEXT(SalesData[[#This Row],[Date]],"dddd")</f>
        <v>Tuesday</v>
      </c>
      <c r="J193" s="11" t="str">
        <f>TEXT(SalesData[[#This Row],[Date]],"mmm")</f>
        <v>Mar</v>
      </c>
      <c r="K193" s="20">
        <f>MONTH(SalesData[[#This Row],[Date]])</f>
        <v>3</v>
      </c>
    </row>
    <row r="194" spans="1:11" x14ac:dyDescent="0.3">
      <c r="A194" s="5">
        <v>45363</v>
      </c>
      <c r="B194" s="9" t="s">
        <v>10</v>
      </c>
      <c r="C194" s="9" t="s">
        <v>14</v>
      </c>
      <c r="D194" s="9" t="s">
        <v>18</v>
      </c>
      <c r="E194" s="7">
        <v>1</v>
      </c>
      <c r="F194" s="11">
        <v>860.83</v>
      </c>
      <c r="G194" s="11">
        <v>860.83</v>
      </c>
      <c r="H194" s="11">
        <v>176.82</v>
      </c>
      <c r="I194" s="11" t="str">
        <f>TEXT(SalesData[[#This Row],[Date]],"dddd")</f>
        <v>Tuesday</v>
      </c>
      <c r="J194" s="11" t="str">
        <f>TEXT(SalesData[[#This Row],[Date]],"mmm")</f>
        <v>Mar</v>
      </c>
      <c r="K194" s="20">
        <f>MONTH(SalesData[[#This Row],[Date]])</f>
        <v>3</v>
      </c>
    </row>
    <row r="195" spans="1:11" x14ac:dyDescent="0.3">
      <c r="A195" s="5">
        <v>45363</v>
      </c>
      <c r="B195" s="9" t="s">
        <v>8</v>
      </c>
      <c r="C195" s="9" t="s">
        <v>15</v>
      </c>
      <c r="D195" s="9" t="s">
        <v>23</v>
      </c>
      <c r="E195" s="7">
        <v>1</v>
      </c>
      <c r="F195" s="11">
        <v>862.81</v>
      </c>
      <c r="G195" s="11">
        <v>862.81</v>
      </c>
      <c r="H195" s="11">
        <v>104.82</v>
      </c>
      <c r="I195" s="11" t="str">
        <f>TEXT(SalesData[[#This Row],[Date]],"dddd")</f>
        <v>Tuesday</v>
      </c>
      <c r="J195" s="11" t="str">
        <f>TEXT(SalesData[[#This Row],[Date]],"mmm")</f>
        <v>Mar</v>
      </c>
      <c r="K195" s="20">
        <f>MONTH(SalesData[[#This Row],[Date]])</f>
        <v>3</v>
      </c>
    </row>
    <row r="196" spans="1:11" x14ac:dyDescent="0.3">
      <c r="A196" s="5">
        <v>45364</v>
      </c>
      <c r="B196" s="9" t="s">
        <v>11</v>
      </c>
      <c r="C196" s="9" t="s">
        <v>14</v>
      </c>
      <c r="D196" s="9" t="s">
        <v>20</v>
      </c>
      <c r="E196" s="7">
        <v>1</v>
      </c>
      <c r="F196" s="11">
        <v>683.52</v>
      </c>
      <c r="G196" s="11">
        <v>683.52</v>
      </c>
      <c r="H196" s="11">
        <v>122.74</v>
      </c>
      <c r="I196" s="11" t="str">
        <f>TEXT(SalesData[[#This Row],[Date]],"dddd")</f>
        <v>Wednesday</v>
      </c>
      <c r="J196" s="11" t="str">
        <f>TEXT(SalesData[[#This Row],[Date]],"mmm")</f>
        <v>Mar</v>
      </c>
      <c r="K196" s="20">
        <f>MONTH(SalesData[[#This Row],[Date]])</f>
        <v>3</v>
      </c>
    </row>
    <row r="197" spans="1:11" x14ac:dyDescent="0.3">
      <c r="A197" s="5">
        <v>45364</v>
      </c>
      <c r="B197" s="9" t="s">
        <v>10</v>
      </c>
      <c r="C197" s="9" t="s">
        <v>17</v>
      </c>
      <c r="D197" s="9" t="s">
        <v>27</v>
      </c>
      <c r="E197" s="7">
        <v>6</v>
      </c>
      <c r="F197" s="11">
        <v>814.82</v>
      </c>
      <c r="G197" s="11">
        <v>4888.92</v>
      </c>
      <c r="H197" s="11">
        <v>717.43</v>
      </c>
      <c r="I197" s="11" t="str">
        <f>TEXT(SalesData[[#This Row],[Date]],"dddd")</f>
        <v>Wednesday</v>
      </c>
      <c r="J197" s="11" t="str">
        <f>TEXT(SalesData[[#This Row],[Date]],"mmm")</f>
        <v>Mar</v>
      </c>
      <c r="K197" s="20">
        <f>MONTH(SalesData[[#This Row],[Date]])</f>
        <v>3</v>
      </c>
    </row>
    <row r="198" spans="1:11" x14ac:dyDescent="0.3">
      <c r="A198" s="5">
        <v>45364</v>
      </c>
      <c r="B198" s="9" t="s">
        <v>8</v>
      </c>
      <c r="C198" s="9" t="s">
        <v>14</v>
      </c>
      <c r="D198" s="9" t="s">
        <v>21</v>
      </c>
      <c r="E198" s="7">
        <v>3</v>
      </c>
      <c r="F198" s="11">
        <v>814.82</v>
      </c>
      <c r="G198" s="11">
        <v>2444.46</v>
      </c>
      <c r="H198" s="11">
        <v>470.99</v>
      </c>
      <c r="I198" s="11" t="str">
        <f>TEXT(SalesData[[#This Row],[Date]],"dddd")</f>
        <v>Wednesday</v>
      </c>
      <c r="J198" s="11" t="str">
        <f>TEXT(SalesData[[#This Row],[Date]],"mmm")</f>
        <v>Mar</v>
      </c>
      <c r="K198" s="20">
        <f>MONTH(SalesData[[#This Row],[Date]])</f>
        <v>3</v>
      </c>
    </row>
    <row r="199" spans="1:11" x14ac:dyDescent="0.3">
      <c r="A199" s="5">
        <v>45364</v>
      </c>
      <c r="B199" s="9" t="s">
        <v>11</v>
      </c>
      <c r="C199" s="9" t="s">
        <v>14</v>
      </c>
      <c r="D199" s="9" t="s">
        <v>18</v>
      </c>
      <c r="E199" s="7">
        <v>8</v>
      </c>
      <c r="F199" s="11">
        <v>1823.88</v>
      </c>
      <c r="G199" s="11">
        <v>14591.04</v>
      </c>
      <c r="H199" s="11">
        <v>2522.0500000000002</v>
      </c>
      <c r="I199" s="11" t="str">
        <f>TEXT(SalesData[[#This Row],[Date]],"dddd")</f>
        <v>Wednesday</v>
      </c>
      <c r="J199" s="11" t="str">
        <f>TEXT(SalesData[[#This Row],[Date]],"mmm")</f>
        <v>Mar</v>
      </c>
      <c r="K199" s="20">
        <f>MONTH(SalesData[[#This Row],[Date]])</f>
        <v>3</v>
      </c>
    </row>
    <row r="200" spans="1:11" x14ac:dyDescent="0.3">
      <c r="A200" s="5">
        <v>45365</v>
      </c>
      <c r="B200" s="9" t="s">
        <v>10</v>
      </c>
      <c r="C200" s="9" t="s">
        <v>15</v>
      </c>
      <c r="D200" s="9" t="s">
        <v>24</v>
      </c>
      <c r="E200" s="7">
        <v>9</v>
      </c>
      <c r="F200" s="11">
        <v>727.64</v>
      </c>
      <c r="G200" s="11">
        <v>6548.76</v>
      </c>
      <c r="H200" s="11">
        <v>1077.19</v>
      </c>
      <c r="I200" s="11" t="str">
        <f>TEXT(SalesData[[#This Row],[Date]],"dddd")</f>
        <v>Thursday</v>
      </c>
      <c r="J200" s="11" t="str">
        <f>TEXT(SalesData[[#This Row],[Date]],"mmm")</f>
        <v>Mar</v>
      </c>
      <c r="K200" s="20">
        <f>MONTH(SalesData[[#This Row],[Date]])</f>
        <v>3</v>
      </c>
    </row>
    <row r="201" spans="1:11" x14ac:dyDescent="0.3">
      <c r="A201" s="5">
        <v>45365</v>
      </c>
      <c r="B201" s="9" t="s">
        <v>13</v>
      </c>
      <c r="C201" s="9" t="s">
        <v>17</v>
      </c>
      <c r="D201" s="9" t="s">
        <v>27</v>
      </c>
      <c r="E201" s="7">
        <v>1</v>
      </c>
      <c r="F201" s="11">
        <v>941.04</v>
      </c>
      <c r="G201" s="11">
        <v>941.04</v>
      </c>
      <c r="H201" s="11">
        <v>233.06</v>
      </c>
      <c r="I201" s="11" t="str">
        <f>TEXT(SalesData[[#This Row],[Date]],"dddd")</f>
        <v>Thursday</v>
      </c>
      <c r="J201" s="11" t="str">
        <f>TEXT(SalesData[[#This Row],[Date]],"mmm")</f>
        <v>Mar</v>
      </c>
      <c r="K201" s="20">
        <f>MONTH(SalesData[[#This Row],[Date]])</f>
        <v>3</v>
      </c>
    </row>
    <row r="202" spans="1:11" x14ac:dyDescent="0.3">
      <c r="A202" s="5">
        <v>45365</v>
      </c>
      <c r="B202" s="9" t="s">
        <v>10</v>
      </c>
      <c r="C202" s="9" t="s">
        <v>14</v>
      </c>
      <c r="D202" s="9" t="s">
        <v>20</v>
      </c>
      <c r="E202" s="7">
        <v>5</v>
      </c>
      <c r="F202" s="11">
        <v>2390.65</v>
      </c>
      <c r="G202" s="11">
        <v>11953.25</v>
      </c>
      <c r="H202" s="11">
        <v>2571.17</v>
      </c>
      <c r="I202" s="11" t="str">
        <f>TEXT(SalesData[[#This Row],[Date]],"dddd")</f>
        <v>Thursday</v>
      </c>
      <c r="J202" s="11" t="str">
        <f>TEXT(SalesData[[#This Row],[Date]],"mmm")</f>
        <v>Mar</v>
      </c>
      <c r="K202" s="20">
        <f>MONTH(SalesData[[#This Row],[Date]])</f>
        <v>3</v>
      </c>
    </row>
    <row r="203" spans="1:11" x14ac:dyDescent="0.3">
      <c r="A203" s="5">
        <v>45365</v>
      </c>
      <c r="B203" s="9" t="s">
        <v>12</v>
      </c>
      <c r="C203" s="9" t="s">
        <v>15</v>
      </c>
      <c r="D203" s="9" t="s">
        <v>23</v>
      </c>
      <c r="E203" s="7">
        <v>2</v>
      </c>
      <c r="F203" s="11">
        <v>515.46</v>
      </c>
      <c r="G203" s="11">
        <v>1030.92</v>
      </c>
      <c r="H203" s="11">
        <v>218.61</v>
      </c>
      <c r="I203" s="11" t="str">
        <f>TEXT(SalesData[[#This Row],[Date]],"dddd")</f>
        <v>Thursday</v>
      </c>
      <c r="J203" s="11" t="str">
        <f>TEXT(SalesData[[#This Row],[Date]],"mmm")</f>
        <v>Mar</v>
      </c>
      <c r="K203" s="20">
        <f>MONTH(SalesData[[#This Row],[Date]])</f>
        <v>3</v>
      </c>
    </row>
    <row r="204" spans="1:11" x14ac:dyDescent="0.3">
      <c r="A204" s="5">
        <v>45366</v>
      </c>
      <c r="B204" s="9" t="s">
        <v>10</v>
      </c>
      <c r="C204" s="9" t="s">
        <v>17</v>
      </c>
      <c r="D204" s="9" t="s">
        <v>28</v>
      </c>
      <c r="E204" s="7">
        <v>9</v>
      </c>
      <c r="F204" s="11">
        <v>1617.45</v>
      </c>
      <c r="G204" s="11">
        <v>14557.05</v>
      </c>
      <c r="H204" s="11">
        <v>2914.43</v>
      </c>
      <c r="I204" s="11" t="str">
        <f>TEXT(SalesData[[#This Row],[Date]],"dddd")</f>
        <v>Friday</v>
      </c>
      <c r="J204" s="11" t="str">
        <f>TEXT(SalesData[[#This Row],[Date]],"mmm")</f>
        <v>Mar</v>
      </c>
      <c r="K204" s="20">
        <f>MONTH(SalesData[[#This Row],[Date]])</f>
        <v>3</v>
      </c>
    </row>
    <row r="205" spans="1:11" x14ac:dyDescent="0.3">
      <c r="A205" s="5">
        <v>45366</v>
      </c>
      <c r="B205" s="9" t="s">
        <v>13</v>
      </c>
      <c r="C205" s="9" t="s">
        <v>14</v>
      </c>
      <c r="D205" s="9" t="s">
        <v>19</v>
      </c>
      <c r="E205" s="7">
        <v>1</v>
      </c>
      <c r="F205" s="11">
        <v>1372.44</v>
      </c>
      <c r="G205" s="11">
        <v>1372.44</v>
      </c>
      <c r="H205" s="11">
        <v>231.89</v>
      </c>
      <c r="I205" s="11" t="str">
        <f>TEXT(SalesData[[#This Row],[Date]],"dddd")</f>
        <v>Friday</v>
      </c>
      <c r="J205" s="11" t="str">
        <f>TEXT(SalesData[[#This Row],[Date]],"mmm")</f>
        <v>Mar</v>
      </c>
      <c r="K205" s="20">
        <f>MONTH(SalesData[[#This Row],[Date]])</f>
        <v>3</v>
      </c>
    </row>
    <row r="206" spans="1:11" x14ac:dyDescent="0.3">
      <c r="A206" s="5">
        <v>45367</v>
      </c>
      <c r="B206" s="9" t="s">
        <v>10</v>
      </c>
      <c r="C206" s="9" t="s">
        <v>17</v>
      </c>
      <c r="D206" s="9" t="s">
        <v>27</v>
      </c>
      <c r="E206" s="7">
        <v>7</v>
      </c>
      <c r="F206" s="11">
        <v>1079.03</v>
      </c>
      <c r="G206" s="11">
        <v>7553.21</v>
      </c>
      <c r="H206" s="11">
        <v>1214.22</v>
      </c>
      <c r="I206" s="11" t="str">
        <f>TEXT(SalesData[[#This Row],[Date]],"dddd")</f>
        <v>Saturday</v>
      </c>
      <c r="J206" s="11" t="str">
        <f>TEXT(SalesData[[#This Row],[Date]],"mmm")</f>
        <v>Mar</v>
      </c>
      <c r="K206" s="20">
        <f>MONTH(SalesData[[#This Row],[Date]])</f>
        <v>3</v>
      </c>
    </row>
    <row r="207" spans="1:11" x14ac:dyDescent="0.3">
      <c r="A207" s="5">
        <v>45367</v>
      </c>
      <c r="B207" s="9" t="s">
        <v>13</v>
      </c>
      <c r="C207" s="9" t="s">
        <v>16</v>
      </c>
      <c r="D207" s="9" t="s">
        <v>25</v>
      </c>
      <c r="E207" s="7">
        <v>8</v>
      </c>
      <c r="F207" s="11">
        <v>2164.0500000000002</v>
      </c>
      <c r="G207" s="11">
        <v>17312.400000000001</v>
      </c>
      <c r="H207" s="11">
        <v>4119.75</v>
      </c>
      <c r="I207" s="11" t="str">
        <f>TEXT(SalesData[[#This Row],[Date]],"dddd")</f>
        <v>Saturday</v>
      </c>
      <c r="J207" s="11" t="str">
        <f>TEXT(SalesData[[#This Row],[Date]],"mmm")</f>
        <v>Mar</v>
      </c>
      <c r="K207" s="20">
        <f>MONTH(SalesData[[#This Row],[Date]])</f>
        <v>3</v>
      </c>
    </row>
    <row r="208" spans="1:11" x14ac:dyDescent="0.3">
      <c r="A208" s="5">
        <v>45367</v>
      </c>
      <c r="B208" s="9" t="s">
        <v>13</v>
      </c>
      <c r="C208" s="9" t="s">
        <v>17</v>
      </c>
      <c r="D208" s="9" t="s">
        <v>28</v>
      </c>
      <c r="E208" s="7">
        <v>4</v>
      </c>
      <c r="F208" s="11">
        <v>1371.35</v>
      </c>
      <c r="G208" s="11">
        <v>5485.4</v>
      </c>
      <c r="H208" s="11">
        <v>878.03</v>
      </c>
      <c r="I208" s="11" t="str">
        <f>TEXT(SalesData[[#This Row],[Date]],"dddd")</f>
        <v>Saturday</v>
      </c>
      <c r="J208" s="11" t="str">
        <f>TEXT(SalesData[[#This Row],[Date]],"mmm")</f>
        <v>Mar</v>
      </c>
      <c r="K208" s="20">
        <f>MONTH(SalesData[[#This Row],[Date]])</f>
        <v>3</v>
      </c>
    </row>
    <row r="209" spans="1:11" x14ac:dyDescent="0.3">
      <c r="A209" s="5">
        <v>45368</v>
      </c>
      <c r="B209" s="9" t="s">
        <v>9</v>
      </c>
      <c r="C209" s="9" t="s">
        <v>15</v>
      </c>
      <c r="D209" s="9" t="s">
        <v>23</v>
      </c>
      <c r="E209" s="7">
        <v>4</v>
      </c>
      <c r="F209" s="11">
        <v>1166.1400000000001</v>
      </c>
      <c r="G209" s="11">
        <v>4664.5600000000004</v>
      </c>
      <c r="H209" s="11">
        <v>584.1</v>
      </c>
      <c r="I209" s="11" t="str">
        <f>TEXT(SalesData[[#This Row],[Date]],"dddd")</f>
        <v>Sunday</v>
      </c>
      <c r="J209" s="11" t="str">
        <f>TEXT(SalesData[[#This Row],[Date]],"mmm")</f>
        <v>Mar</v>
      </c>
      <c r="K209" s="20">
        <f>MONTH(SalesData[[#This Row],[Date]])</f>
        <v>3</v>
      </c>
    </row>
    <row r="210" spans="1:11" x14ac:dyDescent="0.3">
      <c r="A210" s="5">
        <v>45368</v>
      </c>
      <c r="B210" s="9" t="s">
        <v>8</v>
      </c>
      <c r="C210" s="9" t="s">
        <v>14</v>
      </c>
      <c r="D210" s="9" t="s">
        <v>20</v>
      </c>
      <c r="E210" s="7">
        <v>6</v>
      </c>
      <c r="F210" s="11">
        <v>1202.2</v>
      </c>
      <c r="G210" s="11">
        <v>7213.2</v>
      </c>
      <c r="H210" s="11">
        <v>1758.1</v>
      </c>
      <c r="I210" s="11" t="str">
        <f>TEXT(SalesData[[#This Row],[Date]],"dddd")</f>
        <v>Sunday</v>
      </c>
      <c r="J210" s="11" t="str">
        <f>TEXT(SalesData[[#This Row],[Date]],"mmm")</f>
        <v>Mar</v>
      </c>
      <c r="K210" s="20">
        <f>MONTH(SalesData[[#This Row],[Date]])</f>
        <v>3</v>
      </c>
    </row>
    <row r="211" spans="1:11" x14ac:dyDescent="0.3">
      <c r="A211" s="5">
        <v>45368</v>
      </c>
      <c r="B211" s="9" t="s">
        <v>9</v>
      </c>
      <c r="C211" s="9" t="s">
        <v>16</v>
      </c>
      <c r="D211" s="9" t="s">
        <v>29</v>
      </c>
      <c r="E211" s="7">
        <v>2</v>
      </c>
      <c r="F211" s="11">
        <v>792.89</v>
      </c>
      <c r="G211" s="11">
        <v>1585.78</v>
      </c>
      <c r="H211" s="11">
        <v>205.5</v>
      </c>
      <c r="I211" s="11" t="str">
        <f>TEXT(SalesData[[#This Row],[Date]],"dddd")</f>
        <v>Sunday</v>
      </c>
      <c r="J211" s="11" t="str">
        <f>TEXT(SalesData[[#This Row],[Date]],"mmm")</f>
        <v>Mar</v>
      </c>
      <c r="K211" s="20">
        <f>MONTH(SalesData[[#This Row],[Date]])</f>
        <v>3</v>
      </c>
    </row>
    <row r="212" spans="1:11" x14ac:dyDescent="0.3">
      <c r="A212" s="5">
        <v>45368</v>
      </c>
      <c r="B212" s="9" t="s">
        <v>11</v>
      </c>
      <c r="C212" s="9" t="s">
        <v>16</v>
      </c>
      <c r="D212" s="9" t="s">
        <v>25</v>
      </c>
      <c r="E212" s="7">
        <v>2</v>
      </c>
      <c r="F212" s="11">
        <v>854.29</v>
      </c>
      <c r="G212" s="11">
        <v>1708.58</v>
      </c>
      <c r="H212" s="11">
        <v>368.93</v>
      </c>
      <c r="I212" s="11" t="str">
        <f>TEXT(SalesData[[#This Row],[Date]],"dddd")</f>
        <v>Sunday</v>
      </c>
      <c r="J212" s="11" t="str">
        <f>TEXT(SalesData[[#This Row],[Date]],"mmm")</f>
        <v>Mar</v>
      </c>
      <c r="K212" s="20">
        <f>MONTH(SalesData[[#This Row],[Date]])</f>
        <v>3</v>
      </c>
    </row>
    <row r="213" spans="1:11" x14ac:dyDescent="0.3">
      <c r="A213" s="5">
        <v>45369</v>
      </c>
      <c r="B213" s="9" t="s">
        <v>11</v>
      </c>
      <c r="C213" s="9" t="s">
        <v>17</v>
      </c>
      <c r="D213" s="9" t="s">
        <v>27</v>
      </c>
      <c r="E213" s="7">
        <v>6</v>
      </c>
      <c r="F213" s="11">
        <v>801.91</v>
      </c>
      <c r="G213" s="11">
        <v>4811.46</v>
      </c>
      <c r="H213" s="11">
        <v>530.42999999999995</v>
      </c>
      <c r="I213" s="11" t="str">
        <f>TEXT(SalesData[[#This Row],[Date]],"dddd")</f>
        <v>Monday</v>
      </c>
      <c r="J213" s="11" t="str">
        <f>TEXT(SalesData[[#This Row],[Date]],"mmm")</f>
        <v>Mar</v>
      </c>
      <c r="K213" s="20">
        <f>MONTH(SalesData[[#This Row],[Date]])</f>
        <v>3</v>
      </c>
    </row>
    <row r="214" spans="1:11" x14ac:dyDescent="0.3">
      <c r="A214" s="5">
        <v>45369</v>
      </c>
      <c r="B214" s="9" t="s">
        <v>10</v>
      </c>
      <c r="C214" s="9" t="s">
        <v>15</v>
      </c>
      <c r="D214" s="9" t="s">
        <v>23</v>
      </c>
      <c r="E214" s="7">
        <v>10</v>
      </c>
      <c r="F214" s="11">
        <v>612.34</v>
      </c>
      <c r="G214" s="11">
        <v>6123.4</v>
      </c>
      <c r="H214" s="11">
        <v>1078.33</v>
      </c>
      <c r="I214" s="11" t="str">
        <f>TEXT(SalesData[[#This Row],[Date]],"dddd")</f>
        <v>Monday</v>
      </c>
      <c r="J214" s="11" t="str">
        <f>TEXT(SalesData[[#This Row],[Date]],"mmm")</f>
        <v>Mar</v>
      </c>
      <c r="K214" s="20">
        <f>MONTH(SalesData[[#This Row],[Date]])</f>
        <v>3</v>
      </c>
    </row>
    <row r="215" spans="1:11" x14ac:dyDescent="0.3">
      <c r="A215" s="5">
        <v>45369</v>
      </c>
      <c r="B215" s="9" t="s">
        <v>13</v>
      </c>
      <c r="C215" s="9" t="s">
        <v>17</v>
      </c>
      <c r="D215" s="9" t="s">
        <v>27</v>
      </c>
      <c r="E215" s="7">
        <v>1</v>
      </c>
      <c r="F215" s="11">
        <v>613.78</v>
      </c>
      <c r="G215" s="11">
        <v>613.78</v>
      </c>
      <c r="H215" s="11">
        <v>137.94999999999999</v>
      </c>
      <c r="I215" s="11" t="str">
        <f>TEXT(SalesData[[#This Row],[Date]],"dddd")</f>
        <v>Monday</v>
      </c>
      <c r="J215" s="11" t="str">
        <f>TEXT(SalesData[[#This Row],[Date]],"mmm")</f>
        <v>Mar</v>
      </c>
      <c r="K215" s="20">
        <f>MONTH(SalesData[[#This Row],[Date]])</f>
        <v>3</v>
      </c>
    </row>
    <row r="216" spans="1:11" x14ac:dyDescent="0.3">
      <c r="A216" s="5">
        <v>45369</v>
      </c>
      <c r="B216" s="9" t="s">
        <v>8</v>
      </c>
      <c r="C216" s="9" t="s">
        <v>14</v>
      </c>
      <c r="D216" s="9" t="s">
        <v>19</v>
      </c>
      <c r="E216" s="7">
        <v>8</v>
      </c>
      <c r="F216" s="11">
        <v>1660.66</v>
      </c>
      <c r="G216" s="11">
        <v>13285.28</v>
      </c>
      <c r="H216" s="11">
        <v>3230.11</v>
      </c>
      <c r="I216" s="11" t="str">
        <f>TEXT(SalesData[[#This Row],[Date]],"dddd")</f>
        <v>Monday</v>
      </c>
      <c r="J216" s="11" t="str">
        <f>TEXT(SalesData[[#This Row],[Date]],"mmm")</f>
        <v>Mar</v>
      </c>
      <c r="K216" s="20">
        <f>MONTH(SalesData[[#This Row],[Date]])</f>
        <v>3</v>
      </c>
    </row>
    <row r="217" spans="1:11" x14ac:dyDescent="0.3">
      <c r="A217" s="5">
        <v>45370</v>
      </c>
      <c r="B217" s="9" t="s">
        <v>13</v>
      </c>
      <c r="C217" s="9" t="s">
        <v>17</v>
      </c>
      <c r="D217" s="9" t="s">
        <v>28</v>
      </c>
      <c r="E217" s="7">
        <v>6</v>
      </c>
      <c r="F217" s="11">
        <v>1710.01</v>
      </c>
      <c r="G217" s="11">
        <v>10260.06</v>
      </c>
      <c r="H217" s="11">
        <v>1797.61</v>
      </c>
      <c r="I217" s="11" t="str">
        <f>TEXT(SalesData[[#This Row],[Date]],"dddd")</f>
        <v>Tuesday</v>
      </c>
      <c r="J217" s="11" t="str">
        <f>TEXT(SalesData[[#This Row],[Date]],"mmm")</f>
        <v>Mar</v>
      </c>
      <c r="K217" s="20">
        <f>MONTH(SalesData[[#This Row],[Date]])</f>
        <v>3</v>
      </c>
    </row>
    <row r="218" spans="1:11" x14ac:dyDescent="0.3">
      <c r="A218" s="5">
        <v>45371</v>
      </c>
      <c r="B218" s="9" t="s">
        <v>12</v>
      </c>
      <c r="C218" s="9" t="s">
        <v>14</v>
      </c>
      <c r="D218" s="9" t="s">
        <v>18</v>
      </c>
      <c r="E218" s="7">
        <v>2</v>
      </c>
      <c r="F218" s="11">
        <v>1509.1</v>
      </c>
      <c r="G218" s="11">
        <v>3018.2</v>
      </c>
      <c r="H218" s="11">
        <v>379.94</v>
      </c>
      <c r="I218" s="11" t="str">
        <f>TEXT(SalesData[[#This Row],[Date]],"dddd")</f>
        <v>Wednesday</v>
      </c>
      <c r="J218" s="11" t="str">
        <f>TEXT(SalesData[[#This Row],[Date]],"mmm")</f>
        <v>Mar</v>
      </c>
      <c r="K218" s="20">
        <f>MONTH(SalesData[[#This Row],[Date]])</f>
        <v>3</v>
      </c>
    </row>
    <row r="219" spans="1:11" x14ac:dyDescent="0.3">
      <c r="A219" s="5">
        <v>45371</v>
      </c>
      <c r="B219" s="9" t="s">
        <v>10</v>
      </c>
      <c r="C219" s="9" t="s">
        <v>17</v>
      </c>
      <c r="D219" s="9" t="s">
        <v>27</v>
      </c>
      <c r="E219" s="7">
        <v>9</v>
      </c>
      <c r="F219" s="11">
        <v>1545.5</v>
      </c>
      <c r="G219" s="11">
        <v>13909.5</v>
      </c>
      <c r="H219" s="11">
        <v>1722.16</v>
      </c>
      <c r="I219" s="11" t="str">
        <f>TEXT(SalesData[[#This Row],[Date]],"dddd")</f>
        <v>Wednesday</v>
      </c>
      <c r="J219" s="11" t="str">
        <f>TEXT(SalesData[[#This Row],[Date]],"mmm")</f>
        <v>Mar</v>
      </c>
      <c r="K219" s="20">
        <f>MONTH(SalesData[[#This Row],[Date]])</f>
        <v>3</v>
      </c>
    </row>
    <row r="220" spans="1:11" x14ac:dyDescent="0.3">
      <c r="A220" s="5">
        <v>45371</v>
      </c>
      <c r="B220" s="9" t="s">
        <v>13</v>
      </c>
      <c r="C220" s="9" t="s">
        <v>15</v>
      </c>
      <c r="D220" s="9" t="s">
        <v>30</v>
      </c>
      <c r="E220" s="7">
        <v>7</v>
      </c>
      <c r="F220" s="11">
        <v>2048.9299999999998</v>
      </c>
      <c r="G220" s="11">
        <v>14342.51</v>
      </c>
      <c r="H220" s="11">
        <v>2894.82</v>
      </c>
      <c r="I220" s="11" t="str">
        <f>TEXT(SalesData[[#This Row],[Date]],"dddd")</f>
        <v>Wednesday</v>
      </c>
      <c r="J220" s="11" t="str">
        <f>TEXT(SalesData[[#This Row],[Date]],"mmm")</f>
        <v>Mar</v>
      </c>
      <c r="K220" s="20">
        <f>MONTH(SalesData[[#This Row],[Date]])</f>
        <v>3</v>
      </c>
    </row>
    <row r="221" spans="1:11" x14ac:dyDescent="0.3">
      <c r="A221" s="5">
        <v>45371</v>
      </c>
      <c r="B221" s="9" t="s">
        <v>10</v>
      </c>
      <c r="C221" s="9" t="s">
        <v>15</v>
      </c>
      <c r="D221" s="9" t="s">
        <v>22</v>
      </c>
      <c r="E221" s="7">
        <v>6</v>
      </c>
      <c r="F221" s="11">
        <v>689.01</v>
      </c>
      <c r="G221" s="11">
        <v>4134.0600000000004</v>
      </c>
      <c r="H221" s="11">
        <v>834.08</v>
      </c>
      <c r="I221" s="11" t="str">
        <f>TEXT(SalesData[[#This Row],[Date]],"dddd")</f>
        <v>Wednesday</v>
      </c>
      <c r="J221" s="11" t="str">
        <f>TEXT(SalesData[[#This Row],[Date]],"mmm")</f>
        <v>Mar</v>
      </c>
      <c r="K221" s="20">
        <f>MONTH(SalesData[[#This Row],[Date]])</f>
        <v>3</v>
      </c>
    </row>
    <row r="222" spans="1:11" x14ac:dyDescent="0.3">
      <c r="A222" s="5">
        <v>45372</v>
      </c>
      <c r="B222" s="9" t="s">
        <v>10</v>
      </c>
      <c r="C222" s="9" t="s">
        <v>16</v>
      </c>
      <c r="D222" s="9" t="s">
        <v>26</v>
      </c>
      <c r="E222" s="7">
        <v>2</v>
      </c>
      <c r="F222" s="11">
        <v>1665.48</v>
      </c>
      <c r="G222" s="11">
        <v>3330.96</v>
      </c>
      <c r="H222" s="11">
        <v>403.76</v>
      </c>
      <c r="I222" s="11" t="str">
        <f>TEXT(SalesData[[#This Row],[Date]],"dddd")</f>
        <v>Thursday</v>
      </c>
      <c r="J222" s="11" t="str">
        <f>TEXT(SalesData[[#This Row],[Date]],"mmm")</f>
        <v>Mar</v>
      </c>
      <c r="K222" s="20">
        <f>MONTH(SalesData[[#This Row],[Date]])</f>
        <v>3</v>
      </c>
    </row>
    <row r="223" spans="1:11" x14ac:dyDescent="0.3">
      <c r="A223" s="5">
        <v>45372</v>
      </c>
      <c r="B223" s="9" t="s">
        <v>10</v>
      </c>
      <c r="C223" s="9" t="s">
        <v>15</v>
      </c>
      <c r="D223" s="9" t="s">
        <v>30</v>
      </c>
      <c r="E223" s="7">
        <v>3</v>
      </c>
      <c r="F223" s="11">
        <v>1690.08</v>
      </c>
      <c r="G223" s="11">
        <v>5070.24</v>
      </c>
      <c r="H223" s="11">
        <v>1220.4100000000001</v>
      </c>
      <c r="I223" s="11" t="str">
        <f>TEXT(SalesData[[#This Row],[Date]],"dddd")</f>
        <v>Thursday</v>
      </c>
      <c r="J223" s="11" t="str">
        <f>TEXT(SalesData[[#This Row],[Date]],"mmm")</f>
        <v>Mar</v>
      </c>
      <c r="K223" s="20">
        <f>MONTH(SalesData[[#This Row],[Date]])</f>
        <v>3</v>
      </c>
    </row>
    <row r="224" spans="1:11" x14ac:dyDescent="0.3">
      <c r="A224" s="5">
        <v>45372</v>
      </c>
      <c r="B224" s="9" t="s">
        <v>8</v>
      </c>
      <c r="C224" s="9" t="s">
        <v>17</v>
      </c>
      <c r="D224" s="9" t="s">
        <v>27</v>
      </c>
      <c r="E224" s="7">
        <v>3</v>
      </c>
      <c r="F224" s="11">
        <v>1840.23</v>
      </c>
      <c r="G224" s="11">
        <v>5520.69</v>
      </c>
      <c r="H224" s="11">
        <v>1238.53</v>
      </c>
      <c r="I224" s="11" t="str">
        <f>TEXT(SalesData[[#This Row],[Date]],"dddd")</f>
        <v>Thursday</v>
      </c>
      <c r="J224" s="11" t="str">
        <f>TEXT(SalesData[[#This Row],[Date]],"mmm")</f>
        <v>Mar</v>
      </c>
      <c r="K224" s="20">
        <f>MONTH(SalesData[[#This Row],[Date]])</f>
        <v>3</v>
      </c>
    </row>
    <row r="225" spans="1:11" x14ac:dyDescent="0.3">
      <c r="A225" s="5">
        <v>45373</v>
      </c>
      <c r="B225" s="9" t="s">
        <v>12</v>
      </c>
      <c r="C225" s="9" t="s">
        <v>14</v>
      </c>
      <c r="D225" s="9" t="s">
        <v>19</v>
      </c>
      <c r="E225" s="7">
        <v>9</v>
      </c>
      <c r="F225" s="11">
        <v>1223.6600000000001</v>
      </c>
      <c r="G225" s="11">
        <v>11012.94</v>
      </c>
      <c r="H225" s="11">
        <v>1700.28</v>
      </c>
      <c r="I225" s="11" t="str">
        <f>TEXT(SalesData[[#This Row],[Date]],"dddd")</f>
        <v>Friday</v>
      </c>
      <c r="J225" s="11" t="str">
        <f>TEXT(SalesData[[#This Row],[Date]],"mmm")</f>
        <v>Mar</v>
      </c>
      <c r="K225" s="20">
        <f>MONTH(SalesData[[#This Row],[Date]])</f>
        <v>3</v>
      </c>
    </row>
    <row r="226" spans="1:11" x14ac:dyDescent="0.3">
      <c r="A226" s="5">
        <v>45373</v>
      </c>
      <c r="B226" s="9" t="s">
        <v>12</v>
      </c>
      <c r="C226" s="9" t="s">
        <v>16</v>
      </c>
      <c r="D226" s="9" t="s">
        <v>26</v>
      </c>
      <c r="E226" s="7">
        <v>8</v>
      </c>
      <c r="F226" s="11">
        <v>884.01</v>
      </c>
      <c r="G226" s="11">
        <v>7072.08</v>
      </c>
      <c r="H226" s="11">
        <v>1768</v>
      </c>
      <c r="I226" s="11" t="str">
        <f>TEXT(SalesData[[#This Row],[Date]],"dddd")</f>
        <v>Friday</v>
      </c>
      <c r="J226" s="11" t="str">
        <f>TEXT(SalesData[[#This Row],[Date]],"mmm")</f>
        <v>Mar</v>
      </c>
      <c r="K226" s="20">
        <f>MONTH(SalesData[[#This Row],[Date]])</f>
        <v>3</v>
      </c>
    </row>
    <row r="227" spans="1:11" x14ac:dyDescent="0.3">
      <c r="A227" s="5">
        <v>45373</v>
      </c>
      <c r="B227" s="9" t="s">
        <v>8</v>
      </c>
      <c r="C227" s="9" t="s">
        <v>14</v>
      </c>
      <c r="D227" s="9" t="s">
        <v>18</v>
      </c>
      <c r="E227" s="7">
        <v>2</v>
      </c>
      <c r="F227" s="11">
        <v>1515.38</v>
      </c>
      <c r="G227" s="11">
        <v>3030.76</v>
      </c>
      <c r="H227" s="11">
        <v>548.46</v>
      </c>
      <c r="I227" s="11" t="str">
        <f>TEXT(SalesData[[#This Row],[Date]],"dddd")</f>
        <v>Friday</v>
      </c>
      <c r="J227" s="11" t="str">
        <f>TEXT(SalesData[[#This Row],[Date]],"mmm")</f>
        <v>Mar</v>
      </c>
      <c r="K227" s="20">
        <f>MONTH(SalesData[[#This Row],[Date]])</f>
        <v>3</v>
      </c>
    </row>
    <row r="228" spans="1:11" x14ac:dyDescent="0.3">
      <c r="A228" s="5">
        <v>45373</v>
      </c>
      <c r="B228" s="9" t="s">
        <v>12</v>
      </c>
      <c r="C228" s="9" t="s">
        <v>14</v>
      </c>
      <c r="D228" s="9" t="s">
        <v>18</v>
      </c>
      <c r="E228" s="7">
        <v>10</v>
      </c>
      <c r="F228" s="11">
        <v>762.1</v>
      </c>
      <c r="G228" s="11">
        <v>7621</v>
      </c>
      <c r="H228" s="11">
        <v>1192.75</v>
      </c>
      <c r="I228" s="11" t="str">
        <f>TEXT(SalesData[[#This Row],[Date]],"dddd")</f>
        <v>Friday</v>
      </c>
      <c r="J228" s="11" t="str">
        <f>TEXT(SalesData[[#This Row],[Date]],"mmm")</f>
        <v>Mar</v>
      </c>
      <c r="K228" s="20">
        <f>MONTH(SalesData[[#This Row],[Date]])</f>
        <v>3</v>
      </c>
    </row>
    <row r="229" spans="1:11" x14ac:dyDescent="0.3">
      <c r="A229" s="5">
        <v>45373</v>
      </c>
      <c r="B229" s="9" t="s">
        <v>11</v>
      </c>
      <c r="C229" s="9" t="s">
        <v>16</v>
      </c>
      <c r="D229" s="9" t="s">
        <v>25</v>
      </c>
      <c r="E229" s="7">
        <v>10</v>
      </c>
      <c r="F229" s="11">
        <v>2118.09</v>
      </c>
      <c r="G229" s="11">
        <v>21180.9</v>
      </c>
      <c r="H229" s="11">
        <v>2644.03</v>
      </c>
      <c r="I229" s="11" t="str">
        <f>TEXT(SalesData[[#This Row],[Date]],"dddd")</f>
        <v>Friday</v>
      </c>
      <c r="J229" s="11" t="str">
        <f>TEXT(SalesData[[#This Row],[Date]],"mmm")</f>
        <v>Mar</v>
      </c>
      <c r="K229" s="20">
        <f>MONTH(SalesData[[#This Row],[Date]])</f>
        <v>3</v>
      </c>
    </row>
    <row r="230" spans="1:11" x14ac:dyDescent="0.3">
      <c r="A230" s="5">
        <v>45374</v>
      </c>
      <c r="B230" s="9" t="s">
        <v>8</v>
      </c>
      <c r="C230" s="9" t="s">
        <v>17</v>
      </c>
      <c r="D230" s="9" t="s">
        <v>27</v>
      </c>
      <c r="E230" s="7">
        <v>4</v>
      </c>
      <c r="F230" s="11">
        <v>2439.1799999999998</v>
      </c>
      <c r="G230" s="11">
        <v>9756.7199999999993</v>
      </c>
      <c r="H230" s="11">
        <v>1869.28</v>
      </c>
      <c r="I230" s="11" t="str">
        <f>TEXT(SalesData[[#This Row],[Date]],"dddd")</f>
        <v>Saturday</v>
      </c>
      <c r="J230" s="11" t="str">
        <f>TEXT(SalesData[[#This Row],[Date]],"mmm")</f>
        <v>Mar</v>
      </c>
      <c r="K230" s="20">
        <f>MONTH(SalesData[[#This Row],[Date]])</f>
        <v>3</v>
      </c>
    </row>
    <row r="231" spans="1:11" x14ac:dyDescent="0.3">
      <c r="A231" s="5">
        <v>45375</v>
      </c>
      <c r="B231" s="9" t="s">
        <v>11</v>
      </c>
      <c r="C231" s="9" t="s">
        <v>16</v>
      </c>
      <c r="D231" s="9" t="s">
        <v>25</v>
      </c>
      <c r="E231" s="7">
        <v>4</v>
      </c>
      <c r="F231" s="11">
        <v>1118.94</v>
      </c>
      <c r="G231" s="11">
        <v>4475.76</v>
      </c>
      <c r="H231" s="11">
        <v>990.46</v>
      </c>
      <c r="I231" s="11" t="str">
        <f>TEXT(SalesData[[#This Row],[Date]],"dddd")</f>
        <v>Sunday</v>
      </c>
      <c r="J231" s="11" t="str">
        <f>TEXT(SalesData[[#This Row],[Date]],"mmm")</f>
        <v>Mar</v>
      </c>
      <c r="K231" s="20">
        <f>MONTH(SalesData[[#This Row],[Date]])</f>
        <v>3</v>
      </c>
    </row>
    <row r="232" spans="1:11" x14ac:dyDescent="0.3">
      <c r="A232" s="5">
        <v>45375</v>
      </c>
      <c r="B232" s="9" t="s">
        <v>10</v>
      </c>
      <c r="C232" s="9" t="s">
        <v>16</v>
      </c>
      <c r="D232" s="9" t="s">
        <v>26</v>
      </c>
      <c r="E232" s="7">
        <v>10</v>
      </c>
      <c r="F232" s="11">
        <v>2468.88</v>
      </c>
      <c r="G232" s="11">
        <v>24688.799999999999</v>
      </c>
      <c r="H232" s="11">
        <v>4178.63</v>
      </c>
      <c r="I232" s="11" t="str">
        <f>TEXT(SalesData[[#This Row],[Date]],"dddd")</f>
        <v>Sunday</v>
      </c>
      <c r="J232" s="11" t="str">
        <f>TEXT(SalesData[[#This Row],[Date]],"mmm")</f>
        <v>Mar</v>
      </c>
      <c r="K232" s="20">
        <f>MONTH(SalesData[[#This Row],[Date]])</f>
        <v>3</v>
      </c>
    </row>
    <row r="233" spans="1:11" x14ac:dyDescent="0.3">
      <c r="A233" s="5">
        <v>45375</v>
      </c>
      <c r="B233" s="9" t="s">
        <v>12</v>
      </c>
      <c r="C233" s="9" t="s">
        <v>17</v>
      </c>
      <c r="D233" s="9" t="s">
        <v>27</v>
      </c>
      <c r="E233" s="7">
        <v>3</v>
      </c>
      <c r="F233" s="11">
        <v>2133.7800000000002</v>
      </c>
      <c r="G233" s="11">
        <v>6401.34</v>
      </c>
      <c r="H233" s="11">
        <v>1409.5</v>
      </c>
      <c r="I233" s="11" t="str">
        <f>TEXT(SalesData[[#This Row],[Date]],"dddd")</f>
        <v>Sunday</v>
      </c>
      <c r="J233" s="11" t="str">
        <f>TEXT(SalesData[[#This Row],[Date]],"mmm")</f>
        <v>Mar</v>
      </c>
      <c r="K233" s="20">
        <f>MONTH(SalesData[[#This Row],[Date]])</f>
        <v>3</v>
      </c>
    </row>
    <row r="234" spans="1:11" x14ac:dyDescent="0.3">
      <c r="A234" s="5">
        <v>45375</v>
      </c>
      <c r="B234" s="9" t="s">
        <v>13</v>
      </c>
      <c r="C234" s="9" t="s">
        <v>15</v>
      </c>
      <c r="D234" s="9" t="s">
        <v>22</v>
      </c>
      <c r="E234" s="7">
        <v>8</v>
      </c>
      <c r="F234" s="11">
        <v>2248.23</v>
      </c>
      <c r="G234" s="11">
        <v>17985.84</v>
      </c>
      <c r="H234" s="11">
        <v>3294.67</v>
      </c>
      <c r="I234" s="11" t="str">
        <f>TEXT(SalesData[[#This Row],[Date]],"dddd")</f>
        <v>Sunday</v>
      </c>
      <c r="J234" s="11" t="str">
        <f>TEXT(SalesData[[#This Row],[Date]],"mmm")</f>
        <v>Mar</v>
      </c>
      <c r="K234" s="20">
        <f>MONTH(SalesData[[#This Row],[Date]])</f>
        <v>3</v>
      </c>
    </row>
    <row r="235" spans="1:11" x14ac:dyDescent="0.3">
      <c r="A235" s="5">
        <v>45376</v>
      </c>
      <c r="B235" s="9" t="s">
        <v>9</v>
      </c>
      <c r="C235" s="9" t="s">
        <v>14</v>
      </c>
      <c r="D235" s="9" t="s">
        <v>18</v>
      </c>
      <c r="E235" s="7">
        <v>2</v>
      </c>
      <c r="F235" s="11">
        <v>2026.23</v>
      </c>
      <c r="G235" s="11">
        <v>4052.46</v>
      </c>
      <c r="H235" s="11">
        <v>571.07000000000005</v>
      </c>
      <c r="I235" s="11" t="str">
        <f>TEXT(SalesData[[#This Row],[Date]],"dddd")</f>
        <v>Monday</v>
      </c>
      <c r="J235" s="11" t="str">
        <f>TEXT(SalesData[[#This Row],[Date]],"mmm")</f>
        <v>Mar</v>
      </c>
      <c r="K235" s="20">
        <f>MONTH(SalesData[[#This Row],[Date]])</f>
        <v>3</v>
      </c>
    </row>
    <row r="236" spans="1:11" x14ac:dyDescent="0.3">
      <c r="A236" s="5">
        <v>45376</v>
      </c>
      <c r="B236" s="9" t="s">
        <v>11</v>
      </c>
      <c r="C236" s="9" t="s">
        <v>16</v>
      </c>
      <c r="D236" s="9" t="s">
        <v>26</v>
      </c>
      <c r="E236" s="7">
        <v>2</v>
      </c>
      <c r="F236" s="11">
        <v>2392.83</v>
      </c>
      <c r="G236" s="11">
        <v>4785.66</v>
      </c>
      <c r="H236" s="11">
        <v>637.96</v>
      </c>
      <c r="I236" s="11" t="str">
        <f>TEXT(SalesData[[#This Row],[Date]],"dddd")</f>
        <v>Monday</v>
      </c>
      <c r="J236" s="11" t="str">
        <f>TEXT(SalesData[[#This Row],[Date]],"mmm")</f>
        <v>Mar</v>
      </c>
      <c r="K236" s="20">
        <f>MONTH(SalesData[[#This Row],[Date]])</f>
        <v>3</v>
      </c>
    </row>
    <row r="237" spans="1:11" x14ac:dyDescent="0.3">
      <c r="A237" s="5">
        <v>45376</v>
      </c>
      <c r="B237" s="9" t="s">
        <v>12</v>
      </c>
      <c r="C237" s="9" t="s">
        <v>15</v>
      </c>
      <c r="D237" s="9" t="s">
        <v>22</v>
      </c>
      <c r="E237" s="7">
        <v>7</v>
      </c>
      <c r="F237" s="11">
        <v>606.51</v>
      </c>
      <c r="G237" s="11">
        <v>4245.57</v>
      </c>
      <c r="H237" s="11">
        <v>744.25</v>
      </c>
      <c r="I237" s="11" t="str">
        <f>TEXT(SalesData[[#This Row],[Date]],"dddd")</f>
        <v>Monday</v>
      </c>
      <c r="J237" s="11" t="str">
        <f>TEXT(SalesData[[#This Row],[Date]],"mmm")</f>
        <v>Mar</v>
      </c>
      <c r="K237" s="20">
        <f>MONTH(SalesData[[#This Row],[Date]])</f>
        <v>3</v>
      </c>
    </row>
    <row r="238" spans="1:11" x14ac:dyDescent="0.3">
      <c r="A238" s="5">
        <v>45376</v>
      </c>
      <c r="B238" s="9" t="s">
        <v>13</v>
      </c>
      <c r="C238" s="9" t="s">
        <v>17</v>
      </c>
      <c r="D238" s="9" t="s">
        <v>28</v>
      </c>
      <c r="E238" s="7">
        <v>6</v>
      </c>
      <c r="F238" s="11">
        <v>949.08</v>
      </c>
      <c r="G238" s="11">
        <v>5694.48</v>
      </c>
      <c r="H238" s="11">
        <v>841.66</v>
      </c>
      <c r="I238" s="11" t="str">
        <f>TEXT(SalesData[[#This Row],[Date]],"dddd")</f>
        <v>Monday</v>
      </c>
      <c r="J238" s="11" t="str">
        <f>TEXT(SalesData[[#This Row],[Date]],"mmm")</f>
        <v>Mar</v>
      </c>
      <c r="K238" s="20">
        <f>MONTH(SalesData[[#This Row],[Date]])</f>
        <v>3</v>
      </c>
    </row>
    <row r="239" spans="1:11" x14ac:dyDescent="0.3">
      <c r="A239" s="5">
        <v>45376</v>
      </c>
      <c r="B239" s="9" t="s">
        <v>11</v>
      </c>
      <c r="C239" s="9" t="s">
        <v>15</v>
      </c>
      <c r="D239" s="9" t="s">
        <v>24</v>
      </c>
      <c r="E239" s="7">
        <v>3</v>
      </c>
      <c r="F239" s="11">
        <v>576.61</v>
      </c>
      <c r="G239" s="11">
        <v>1729.83</v>
      </c>
      <c r="H239" s="11">
        <v>411.02</v>
      </c>
      <c r="I239" s="11" t="str">
        <f>TEXT(SalesData[[#This Row],[Date]],"dddd")</f>
        <v>Monday</v>
      </c>
      <c r="J239" s="11" t="str">
        <f>TEXT(SalesData[[#This Row],[Date]],"mmm")</f>
        <v>Mar</v>
      </c>
      <c r="K239" s="20">
        <f>MONTH(SalesData[[#This Row],[Date]])</f>
        <v>3</v>
      </c>
    </row>
    <row r="240" spans="1:11" x14ac:dyDescent="0.3">
      <c r="A240" s="5">
        <v>45377</v>
      </c>
      <c r="B240" s="9" t="s">
        <v>10</v>
      </c>
      <c r="C240" s="9" t="s">
        <v>17</v>
      </c>
      <c r="D240" s="9" t="s">
        <v>27</v>
      </c>
      <c r="E240" s="7">
        <v>10</v>
      </c>
      <c r="F240" s="11">
        <v>510.5</v>
      </c>
      <c r="G240" s="11">
        <v>5105</v>
      </c>
      <c r="H240" s="11">
        <v>571.16999999999996</v>
      </c>
      <c r="I240" s="11" t="str">
        <f>TEXT(SalesData[[#This Row],[Date]],"dddd")</f>
        <v>Tuesday</v>
      </c>
      <c r="J240" s="11" t="str">
        <f>TEXT(SalesData[[#This Row],[Date]],"mmm")</f>
        <v>Mar</v>
      </c>
      <c r="K240" s="20">
        <f>MONTH(SalesData[[#This Row],[Date]])</f>
        <v>3</v>
      </c>
    </row>
    <row r="241" spans="1:11" x14ac:dyDescent="0.3">
      <c r="A241" s="5">
        <v>45377</v>
      </c>
      <c r="B241" s="9" t="s">
        <v>11</v>
      </c>
      <c r="C241" s="9" t="s">
        <v>16</v>
      </c>
      <c r="D241" s="9" t="s">
        <v>29</v>
      </c>
      <c r="E241" s="7">
        <v>9</v>
      </c>
      <c r="F241" s="11">
        <v>2380.4499999999998</v>
      </c>
      <c r="G241" s="11">
        <v>21424.05</v>
      </c>
      <c r="H241" s="11">
        <v>4099.1099999999997</v>
      </c>
      <c r="I241" s="11" t="str">
        <f>TEXT(SalesData[[#This Row],[Date]],"dddd")</f>
        <v>Tuesday</v>
      </c>
      <c r="J241" s="11" t="str">
        <f>TEXT(SalesData[[#This Row],[Date]],"mmm")</f>
        <v>Mar</v>
      </c>
      <c r="K241" s="20">
        <f>MONTH(SalesData[[#This Row],[Date]])</f>
        <v>3</v>
      </c>
    </row>
    <row r="242" spans="1:11" x14ac:dyDescent="0.3">
      <c r="A242" s="5">
        <v>45378</v>
      </c>
      <c r="B242" s="9" t="s">
        <v>8</v>
      </c>
      <c r="C242" s="9" t="s">
        <v>15</v>
      </c>
      <c r="D242" s="9" t="s">
        <v>24</v>
      </c>
      <c r="E242" s="7">
        <v>5</v>
      </c>
      <c r="F242" s="11">
        <v>743.7</v>
      </c>
      <c r="G242" s="11">
        <v>3718.5</v>
      </c>
      <c r="H242" s="11">
        <v>504.85</v>
      </c>
      <c r="I242" s="11" t="str">
        <f>TEXT(SalesData[[#This Row],[Date]],"dddd")</f>
        <v>Wednesday</v>
      </c>
      <c r="J242" s="11" t="str">
        <f>TEXT(SalesData[[#This Row],[Date]],"mmm")</f>
        <v>Mar</v>
      </c>
      <c r="K242" s="20">
        <f>MONTH(SalesData[[#This Row],[Date]])</f>
        <v>3</v>
      </c>
    </row>
    <row r="243" spans="1:11" x14ac:dyDescent="0.3">
      <c r="A243" s="5">
        <v>45379</v>
      </c>
      <c r="B243" s="9" t="s">
        <v>9</v>
      </c>
      <c r="C243" s="9" t="s">
        <v>17</v>
      </c>
      <c r="D243" s="9" t="s">
        <v>28</v>
      </c>
      <c r="E243" s="7">
        <v>2</v>
      </c>
      <c r="F243" s="11">
        <v>2173.38</v>
      </c>
      <c r="G243" s="11">
        <v>4346.76</v>
      </c>
      <c r="H243" s="11">
        <v>760.57</v>
      </c>
      <c r="I243" s="11" t="str">
        <f>TEXT(SalesData[[#This Row],[Date]],"dddd")</f>
        <v>Thursday</v>
      </c>
      <c r="J243" s="11" t="str">
        <f>TEXT(SalesData[[#This Row],[Date]],"mmm")</f>
        <v>Mar</v>
      </c>
      <c r="K243" s="20">
        <f>MONTH(SalesData[[#This Row],[Date]])</f>
        <v>3</v>
      </c>
    </row>
    <row r="244" spans="1:11" x14ac:dyDescent="0.3">
      <c r="A244" s="5">
        <v>45379</v>
      </c>
      <c r="B244" s="9" t="s">
        <v>10</v>
      </c>
      <c r="C244" s="9" t="s">
        <v>14</v>
      </c>
      <c r="D244" s="9" t="s">
        <v>20</v>
      </c>
      <c r="E244" s="7">
        <v>3</v>
      </c>
      <c r="F244" s="11">
        <v>1082.54</v>
      </c>
      <c r="G244" s="11">
        <v>3247.62</v>
      </c>
      <c r="H244" s="11">
        <v>325.52</v>
      </c>
      <c r="I244" s="11" t="str">
        <f>TEXT(SalesData[[#This Row],[Date]],"dddd")</f>
        <v>Thursday</v>
      </c>
      <c r="J244" s="11" t="str">
        <f>TEXT(SalesData[[#This Row],[Date]],"mmm")</f>
        <v>Mar</v>
      </c>
      <c r="K244" s="20">
        <f>MONTH(SalesData[[#This Row],[Date]])</f>
        <v>3</v>
      </c>
    </row>
    <row r="245" spans="1:11" x14ac:dyDescent="0.3">
      <c r="A245" s="5">
        <v>45379</v>
      </c>
      <c r="B245" s="9" t="s">
        <v>9</v>
      </c>
      <c r="C245" s="9" t="s">
        <v>16</v>
      </c>
      <c r="D245" s="9" t="s">
        <v>25</v>
      </c>
      <c r="E245" s="7">
        <v>7</v>
      </c>
      <c r="F245" s="11">
        <v>874.63</v>
      </c>
      <c r="G245" s="11">
        <v>6122.41</v>
      </c>
      <c r="H245" s="11">
        <v>1225.9000000000001</v>
      </c>
      <c r="I245" s="11" t="str">
        <f>TEXT(SalesData[[#This Row],[Date]],"dddd")</f>
        <v>Thursday</v>
      </c>
      <c r="J245" s="11" t="str">
        <f>TEXT(SalesData[[#This Row],[Date]],"mmm")</f>
        <v>Mar</v>
      </c>
      <c r="K245" s="20">
        <f>MONTH(SalesData[[#This Row],[Date]])</f>
        <v>3</v>
      </c>
    </row>
    <row r="246" spans="1:11" x14ac:dyDescent="0.3">
      <c r="A246" s="5">
        <v>45379</v>
      </c>
      <c r="B246" s="9" t="s">
        <v>9</v>
      </c>
      <c r="C246" s="9" t="s">
        <v>15</v>
      </c>
      <c r="D246" s="9" t="s">
        <v>22</v>
      </c>
      <c r="E246" s="7">
        <v>9</v>
      </c>
      <c r="F246" s="11">
        <v>1588.16</v>
      </c>
      <c r="G246" s="11">
        <v>14293.44</v>
      </c>
      <c r="H246" s="11">
        <v>3115.42</v>
      </c>
      <c r="I246" s="11" t="str">
        <f>TEXT(SalesData[[#This Row],[Date]],"dddd")</f>
        <v>Thursday</v>
      </c>
      <c r="J246" s="11" t="str">
        <f>TEXT(SalesData[[#This Row],[Date]],"mmm")</f>
        <v>Mar</v>
      </c>
      <c r="K246" s="20">
        <f>MONTH(SalesData[[#This Row],[Date]])</f>
        <v>3</v>
      </c>
    </row>
    <row r="247" spans="1:11" x14ac:dyDescent="0.3">
      <c r="A247" s="5">
        <v>45379</v>
      </c>
      <c r="B247" s="9" t="s">
        <v>10</v>
      </c>
      <c r="C247" s="9" t="s">
        <v>14</v>
      </c>
      <c r="D247" s="9" t="s">
        <v>19</v>
      </c>
      <c r="E247" s="7">
        <v>8</v>
      </c>
      <c r="F247" s="11">
        <v>587.07000000000005</v>
      </c>
      <c r="G247" s="11">
        <v>4696.5600000000004</v>
      </c>
      <c r="H247" s="11">
        <v>742.21</v>
      </c>
      <c r="I247" s="11" t="str">
        <f>TEXT(SalesData[[#This Row],[Date]],"dddd")</f>
        <v>Thursday</v>
      </c>
      <c r="J247" s="11" t="str">
        <f>TEXT(SalesData[[#This Row],[Date]],"mmm")</f>
        <v>Mar</v>
      </c>
      <c r="K247" s="20">
        <f>MONTH(SalesData[[#This Row],[Date]])</f>
        <v>3</v>
      </c>
    </row>
    <row r="248" spans="1:11" x14ac:dyDescent="0.3">
      <c r="A248" s="5">
        <v>45380</v>
      </c>
      <c r="B248" s="9" t="s">
        <v>8</v>
      </c>
      <c r="C248" s="9" t="s">
        <v>14</v>
      </c>
      <c r="D248" s="9" t="s">
        <v>18</v>
      </c>
      <c r="E248" s="7">
        <v>2</v>
      </c>
      <c r="F248" s="11">
        <v>1189.5999999999999</v>
      </c>
      <c r="G248" s="11">
        <v>2379.1999999999998</v>
      </c>
      <c r="H248" s="11">
        <v>499.49</v>
      </c>
      <c r="I248" s="11" t="str">
        <f>TEXT(SalesData[[#This Row],[Date]],"dddd")</f>
        <v>Friday</v>
      </c>
      <c r="J248" s="11" t="str">
        <f>TEXT(SalesData[[#This Row],[Date]],"mmm")</f>
        <v>Mar</v>
      </c>
      <c r="K248" s="20">
        <f>MONTH(SalesData[[#This Row],[Date]])</f>
        <v>3</v>
      </c>
    </row>
    <row r="249" spans="1:11" x14ac:dyDescent="0.3">
      <c r="A249" s="5">
        <v>45380</v>
      </c>
      <c r="B249" s="9" t="s">
        <v>8</v>
      </c>
      <c r="C249" s="9" t="s">
        <v>14</v>
      </c>
      <c r="D249" s="9" t="s">
        <v>18</v>
      </c>
      <c r="E249" s="7">
        <v>3</v>
      </c>
      <c r="F249" s="11">
        <v>588.66999999999996</v>
      </c>
      <c r="G249" s="11">
        <v>1766.01</v>
      </c>
      <c r="H249" s="11">
        <v>321.24</v>
      </c>
      <c r="I249" s="11" t="str">
        <f>TEXT(SalesData[[#This Row],[Date]],"dddd")</f>
        <v>Friday</v>
      </c>
      <c r="J249" s="11" t="str">
        <f>TEXT(SalesData[[#This Row],[Date]],"mmm")</f>
        <v>Mar</v>
      </c>
      <c r="K249" s="20">
        <f>MONTH(SalesData[[#This Row],[Date]])</f>
        <v>3</v>
      </c>
    </row>
    <row r="250" spans="1:11" x14ac:dyDescent="0.3">
      <c r="A250" s="5">
        <v>45380</v>
      </c>
      <c r="B250" s="9" t="s">
        <v>12</v>
      </c>
      <c r="C250" s="9" t="s">
        <v>16</v>
      </c>
      <c r="D250" s="9" t="s">
        <v>25</v>
      </c>
      <c r="E250" s="7">
        <v>8</v>
      </c>
      <c r="F250" s="11">
        <v>2461.64</v>
      </c>
      <c r="G250" s="11">
        <v>19693.12</v>
      </c>
      <c r="H250" s="11">
        <v>3382.88</v>
      </c>
      <c r="I250" s="11" t="str">
        <f>TEXT(SalesData[[#This Row],[Date]],"dddd")</f>
        <v>Friday</v>
      </c>
      <c r="J250" s="11" t="str">
        <f>TEXT(SalesData[[#This Row],[Date]],"mmm")</f>
        <v>Mar</v>
      </c>
      <c r="K250" s="20">
        <f>MONTH(SalesData[[#This Row],[Date]])</f>
        <v>3</v>
      </c>
    </row>
    <row r="251" spans="1:11" x14ac:dyDescent="0.3">
      <c r="A251" s="5">
        <v>45381</v>
      </c>
      <c r="B251" s="9" t="s">
        <v>12</v>
      </c>
      <c r="C251" s="9" t="s">
        <v>14</v>
      </c>
      <c r="D251" s="9" t="s">
        <v>19</v>
      </c>
      <c r="E251" s="7">
        <v>1</v>
      </c>
      <c r="F251" s="11">
        <v>1086.8900000000001</v>
      </c>
      <c r="G251" s="11">
        <v>1086.8900000000001</v>
      </c>
      <c r="H251" s="11">
        <v>115.83</v>
      </c>
      <c r="I251" s="11" t="str">
        <f>TEXT(SalesData[[#This Row],[Date]],"dddd")</f>
        <v>Saturday</v>
      </c>
      <c r="J251" s="11" t="str">
        <f>TEXT(SalesData[[#This Row],[Date]],"mmm")</f>
        <v>Mar</v>
      </c>
      <c r="K251" s="20">
        <f>MONTH(SalesData[[#This Row],[Date]])</f>
        <v>3</v>
      </c>
    </row>
    <row r="252" spans="1:11" x14ac:dyDescent="0.3">
      <c r="A252" s="5">
        <v>45381</v>
      </c>
      <c r="B252" s="9" t="s">
        <v>9</v>
      </c>
      <c r="C252" s="9" t="s">
        <v>14</v>
      </c>
      <c r="D252" s="9" t="s">
        <v>18</v>
      </c>
      <c r="E252" s="7">
        <v>5</v>
      </c>
      <c r="F252" s="11">
        <v>1530.77</v>
      </c>
      <c r="G252" s="11">
        <v>7653.85</v>
      </c>
      <c r="H252" s="11">
        <v>1900.97</v>
      </c>
      <c r="I252" s="11" t="str">
        <f>TEXT(SalesData[[#This Row],[Date]],"dddd")</f>
        <v>Saturday</v>
      </c>
      <c r="J252" s="11" t="str">
        <f>TEXT(SalesData[[#This Row],[Date]],"mmm")</f>
        <v>Mar</v>
      </c>
      <c r="K252" s="20">
        <f>MONTH(SalesData[[#This Row],[Date]])</f>
        <v>3</v>
      </c>
    </row>
    <row r="253" spans="1:11" x14ac:dyDescent="0.3">
      <c r="A253" s="5">
        <v>45382</v>
      </c>
      <c r="B253" s="9" t="s">
        <v>13</v>
      </c>
      <c r="C253" s="9" t="s">
        <v>15</v>
      </c>
      <c r="D253" s="9" t="s">
        <v>22</v>
      </c>
      <c r="E253" s="7">
        <v>4</v>
      </c>
      <c r="F253" s="11">
        <v>1072.22</v>
      </c>
      <c r="G253" s="11">
        <v>4288.88</v>
      </c>
      <c r="H253" s="11">
        <v>983.53</v>
      </c>
      <c r="I253" s="11" t="str">
        <f>TEXT(SalesData[[#This Row],[Date]],"dddd")</f>
        <v>Sunday</v>
      </c>
      <c r="J253" s="11" t="str">
        <f>TEXT(SalesData[[#This Row],[Date]],"mmm")</f>
        <v>Mar</v>
      </c>
      <c r="K253" s="20">
        <f>MONTH(SalesData[[#This Row],[Date]])</f>
        <v>3</v>
      </c>
    </row>
    <row r="254" spans="1:11" x14ac:dyDescent="0.3">
      <c r="A254" s="5">
        <v>45382</v>
      </c>
      <c r="B254" s="9" t="s">
        <v>11</v>
      </c>
      <c r="C254" s="9" t="s">
        <v>15</v>
      </c>
      <c r="D254" s="9" t="s">
        <v>23</v>
      </c>
      <c r="E254" s="7">
        <v>2</v>
      </c>
      <c r="F254" s="11">
        <v>2098.6799999999998</v>
      </c>
      <c r="G254" s="11">
        <v>4197.3599999999997</v>
      </c>
      <c r="H254" s="11">
        <v>694.84</v>
      </c>
      <c r="I254" s="11" t="str">
        <f>TEXT(SalesData[[#This Row],[Date]],"dddd")</f>
        <v>Sunday</v>
      </c>
      <c r="J254" s="11" t="str">
        <f>TEXT(SalesData[[#This Row],[Date]],"mmm")</f>
        <v>Mar</v>
      </c>
      <c r="K254" s="20">
        <f>MONTH(SalesData[[#This Row],[Date]])</f>
        <v>3</v>
      </c>
    </row>
    <row r="255" spans="1:11" x14ac:dyDescent="0.3">
      <c r="A255" s="5">
        <v>45382</v>
      </c>
      <c r="B255" s="9" t="s">
        <v>11</v>
      </c>
      <c r="C255" s="9" t="s">
        <v>17</v>
      </c>
      <c r="D255" s="9" t="s">
        <v>27</v>
      </c>
      <c r="E255" s="7">
        <v>6</v>
      </c>
      <c r="F255" s="11">
        <v>2447.4499999999998</v>
      </c>
      <c r="G255" s="11">
        <v>14684.7</v>
      </c>
      <c r="H255" s="11">
        <v>2561.46</v>
      </c>
      <c r="I255" s="11" t="str">
        <f>TEXT(SalesData[[#This Row],[Date]],"dddd")</f>
        <v>Sunday</v>
      </c>
      <c r="J255" s="11" t="str">
        <f>TEXT(SalesData[[#This Row],[Date]],"mmm")</f>
        <v>Mar</v>
      </c>
      <c r="K255" s="20">
        <f>MONTH(SalesData[[#This Row],[Date]])</f>
        <v>3</v>
      </c>
    </row>
    <row r="256" spans="1:11" x14ac:dyDescent="0.3">
      <c r="A256" s="5">
        <v>45382</v>
      </c>
      <c r="B256" s="9" t="s">
        <v>9</v>
      </c>
      <c r="C256" s="9" t="s">
        <v>15</v>
      </c>
      <c r="D256" s="9" t="s">
        <v>23</v>
      </c>
      <c r="E256" s="7">
        <v>2</v>
      </c>
      <c r="F256" s="11">
        <v>1954.16</v>
      </c>
      <c r="G256" s="11">
        <v>3908.32</v>
      </c>
      <c r="H256" s="11">
        <v>437.1</v>
      </c>
      <c r="I256" s="11" t="str">
        <f>TEXT(SalesData[[#This Row],[Date]],"dddd")</f>
        <v>Sunday</v>
      </c>
      <c r="J256" s="11" t="str">
        <f>TEXT(SalesData[[#This Row],[Date]],"mmm")</f>
        <v>Mar</v>
      </c>
      <c r="K256" s="20">
        <f>MONTH(SalesData[[#This Row],[Date]])</f>
        <v>3</v>
      </c>
    </row>
    <row r="257" spans="1:11" x14ac:dyDescent="0.3">
      <c r="A257" s="5">
        <v>45383</v>
      </c>
      <c r="B257" s="9" t="s">
        <v>10</v>
      </c>
      <c r="C257" s="9" t="s">
        <v>15</v>
      </c>
      <c r="D257" s="9" t="s">
        <v>23</v>
      </c>
      <c r="E257" s="7">
        <v>2</v>
      </c>
      <c r="F257" s="11">
        <v>660.14</v>
      </c>
      <c r="G257" s="11">
        <v>1320.28</v>
      </c>
      <c r="H257" s="11">
        <v>262.92</v>
      </c>
      <c r="I257" s="11" t="str">
        <f>TEXT(SalesData[[#This Row],[Date]],"dddd")</f>
        <v>Monday</v>
      </c>
      <c r="J257" s="11" t="str">
        <f>TEXT(SalesData[[#This Row],[Date]],"mmm")</f>
        <v>Apr</v>
      </c>
      <c r="K257" s="20">
        <f>MONTH(SalesData[[#This Row],[Date]])</f>
        <v>4</v>
      </c>
    </row>
    <row r="258" spans="1:11" x14ac:dyDescent="0.3">
      <c r="A258" s="5">
        <v>45383</v>
      </c>
      <c r="B258" s="9" t="s">
        <v>13</v>
      </c>
      <c r="C258" s="9" t="s">
        <v>17</v>
      </c>
      <c r="D258" s="9" t="s">
        <v>27</v>
      </c>
      <c r="E258" s="7">
        <v>3</v>
      </c>
      <c r="F258" s="11">
        <v>1879.53</v>
      </c>
      <c r="G258" s="11">
        <v>5638.59</v>
      </c>
      <c r="H258" s="11">
        <v>861.19</v>
      </c>
      <c r="I258" s="11" t="str">
        <f>TEXT(SalesData[[#This Row],[Date]],"dddd")</f>
        <v>Monday</v>
      </c>
      <c r="J258" s="11" t="str">
        <f>TEXT(SalesData[[#This Row],[Date]],"mmm")</f>
        <v>Apr</v>
      </c>
      <c r="K258" s="20">
        <f>MONTH(SalesData[[#This Row],[Date]])</f>
        <v>4</v>
      </c>
    </row>
    <row r="259" spans="1:11" x14ac:dyDescent="0.3">
      <c r="A259" s="5">
        <v>45384</v>
      </c>
      <c r="B259" s="9" t="s">
        <v>10</v>
      </c>
      <c r="C259" s="9" t="s">
        <v>17</v>
      </c>
      <c r="D259" s="9" t="s">
        <v>27</v>
      </c>
      <c r="E259" s="7">
        <v>1</v>
      </c>
      <c r="F259" s="11">
        <v>650.08000000000004</v>
      </c>
      <c r="G259" s="11">
        <v>650.08000000000004</v>
      </c>
      <c r="H259" s="11">
        <v>127.17</v>
      </c>
      <c r="I259" s="11" t="str">
        <f>TEXT(SalesData[[#This Row],[Date]],"dddd")</f>
        <v>Tuesday</v>
      </c>
      <c r="J259" s="11" t="str">
        <f>TEXT(SalesData[[#This Row],[Date]],"mmm")</f>
        <v>Apr</v>
      </c>
      <c r="K259" s="20">
        <f>MONTH(SalesData[[#This Row],[Date]])</f>
        <v>4</v>
      </c>
    </row>
    <row r="260" spans="1:11" x14ac:dyDescent="0.3">
      <c r="A260" s="5">
        <v>45384</v>
      </c>
      <c r="B260" s="9" t="s">
        <v>11</v>
      </c>
      <c r="C260" s="9" t="s">
        <v>16</v>
      </c>
      <c r="D260" s="9" t="s">
        <v>29</v>
      </c>
      <c r="E260" s="7">
        <v>3</v>
      </c>
      <c r="F260" s="11">
        <v>2197.34</v>
      </c>
      <c r="G260" s="11">
        <v>6592.02</v>
      </c>
      <c r="H260" s="11">
        <v>1329.7</v>
      </c>
      <c r="I260" s="11" t="str">
        <f>TEXT(SalesData[[#This Row],[Date]],"dddd")</f>
        <v>Tuesday</v>
      </c>
      <c r="J260" s="11" t="str">
        <f>TEXT(SalesData[[#This Row],[Date]],"mmm")</f>
        <v>Apr</v>
      </c>
      <c r="K260" s="20">
        <f>MONTH(SalesData[[#This Row],[Date]])</f>
        <v>4</v>
      </c>
    </row>
    <row r="261" spans="1:11" x14ac:dyDescent="0.3">
      <c r="A261" s="5">
        <v>45384</v>
      </c>
      <c r="B261" s="9" t="s">
        <v>10</v>
      </c>
      <c r="C261" s="9" t="s">
        <v>14</v>
      </c>
      <c r="D261" s="9" t="s">
        <v>20</v>
      </c>
      <c r="E261" s="7">
        <v>2</v>
      </c>
      <c r="F261" s="11">
        <v>971.99</v>
      </c>
      <c r="G261" s="11">
        <v>1943.98</v>
      </c>
      <c r="H261" s="11">
        <v>382.53</v>
      </c>
      <c r="I261" s="11" t="str">
        <f>TEXT(SalesData[[#This Row],[Date]],"dddd")</f>
        <v>Tuesday</v>
      </c>
      <c r="J261" s="11" t="str">
        <f>TEXT(SalesData[[#This Row],[Date]],"mmm")</f>
        <v>Apr</v>
      </c>
      <c r="K261" s="20">
        <f>MONTH(SalesData[[#This Row],[Date]])</f>
        <v>4</v>
      </c>
    </row>
    <row r="262" spans="1:11" x14ac:dyDescent="0.3">
      <c r="A262" s="5">
        <v>45385</v>
      </c>
      <c r="B262" s="9" t="s">
        <v>13</v>
      </c>
      <c r="C262" s="9" t="s">
        <v>14</v>
      </c>
      <c r="D262" s="9" t="s">
        <v>20</v>
      </c>
      <c r="E262" s="7">
        <v>8</v>
      </c>
      <c r="F262" s="11">
        <v>2397.65</v>
      </c>
      <c r="G262" s="11">
        <v>19181.2</v>
      </c>
      <c r="H262" s="11">
        <v>2988.47</v>
      </c>
      <c r="I262" s="11" t="str">
        <f>TEXT(SalesData[[#This Row],[Date]],"dddd")</f>
        <v>Wednesday</v>
      </c>
      <c r="J262" s="11" t="str">
        <f>TEXT(SalesData[[#This Row],[Date]],"mmm")</f>
        <v>Apr</v>
      </c>
      <c r="K262" s="20">
        <f>MONTH(SalesData[[#This Row],[Date]])</f>
        <v>4</v>
      </c>
    </row>
    <row r="263" spans="1:11" x14ac:dyDescent="0.3">
      <c r="A263" s="5">
        <v>45385</v>
      </c>
      <c r="B263" s="9" t="s">
        <v>12</v>
      </c>
      <c r="C263" s="9" t="s">
        <v>16</v>
      </c>
      <c r="D263" s="9" t="s">
        <v>25</v>
      </c>
      <c r="E263" s="7">
        <v>6</v>
      </c>
      <c r="F263" s="11">
        <v>1296.07</v>
      </c>
      <c r="G263" s="11">
        <v>7776.42</v>
      </c>
      <c r="H263" s="11">
        <v>1535.33</v>
      </c>
      <c r="I263" s="11" t="str">
        <f>TEXT(SalesData[[#This Row],[Date]],"dddd")</f>
        <v>Wednesday</v>
      </c>
      <c r="J263" s="11" t="str">
        <f>TEXT(SalesData[[#This Row],[Date]],"mmm")</f>
        <v>Apr</v>
      </c>
      <c r="K263" s="20">
        <f>MONTH(SalesData[[#This Row],[Date]])</f>
        <v>4</v>
      </c>
    </row>
    <row r="264" spans="1:11" x14ac:dyDescent="0.3">
      <c r="A264" s="5">
        <v>45385</v>
      </c>
      <c r="B264" s="9" t="s">
        <v>9</v>
      </c>
      <c r="C264" s="9" t="s">
        <v>14</v>
      </c>
      <c r="D264" s="9" t="s">
        <v>21</v>
      </c>
      <c r="E264" s="7">
        <v>3</v>
      </c>
      <c r="F264" s="11">
        <v>1498.09</v>
      </c>
      <c r="G264" s="11">
        <v>4494.2700000000004</v>
      </c>
      <c r="H264" s="11">
        <v>710.31</v>
      </c>
      <c r="I264" s="11" t="str">
        <f>TEXT(SalesData[[#This Row],[Date]],"dddd")</f>
        <v>Wednesday</v>
      </c>
      <c r="J264" s="11" t="str">
        <f>TEXT(SalesData[[#This Row],[Date]],"mmm")</f>
        <v>Apr</v>
      </c>
      <c r="K264" s="20">
        <f>MONTH(SalesData[[#This Row],[Date]])</f>
        <v>4</v>
      </c>
    </row>
    <row r="265" spans="1:11" x14ac:dyDescent="0.3">
      <c r="A265" s="5">
        <v>45385</v>
      </c>
      <c r="B265" s="9" t="s">
        <v>9</v>
      </c>
      <c r="C265" s="9" t="s">
        <v>14</v>
      </c>
      <c r="D265" s="9" t="s">
        <v>18</v>
      </c>
      <c r="E265" s="7">
        <v>5</v>
      </c>
      <c r="F265" s="11">
        <v>1908.08</v>
      </c>
      <c r="G265" s="11">
        <v>9540.4</v>
      </c>
      <c r="H265" s="11">
        <v>1261.0999999999999</v>
      </c>
      <c r="I265" s="11" t="str">
        <f>TEXT(SalesData[[#This Row],[Date]],"dddd")</f>
        <v>Wednesday</v>
      </c>
      <c r="J265" s="11" t="str">
        <f>TEXT(SalesData[[#This Row],[Date]],"mmm")</f>
        <v>Apr</v>
      </c>
      <c r="K265" s="20">
        <f>MONTH(SalesData[[#This Row],[Date]])</f>
        <v>4</v>
      </c>
    </row>
    <row r="266" spans="1:11" x14ac:dyDescent="0.3">
      <c r="A266" s="5">
        <v>45386</v>
      </c>
      <c r="B266" s="9" t="s">
        <v>12</v>
      </c>
      <c r="C266" s="9" t="s">
        <v>17</v>
      </c>
      <c r="D266" s="9" t="s">
        <v>28</v>
      </c>
      <c r="E266" s="7">
        <v>2</v>
      </c>
      <c r="F266" s="11">
        <v>771.46</v>
      </c>
      <c r="G266" s="11">
        <v>1542.92</v>
      </c>
      <c r="H266" s="11">
        <v>171.43</v>
      </c>
      <c r="I266" s="11" t="str">
        <f>TEXT(SalesData[[#This Row],[Date]],"dddd")</f>
        <v>Thursday</v>
      </c>
      <c r="J266" s="11" t="str">
        <f>TEXT(SalesData[[#This Row],[Date]],"mmm")</f>
        <v>Apr</v>
      </c>
      <c r="K266" s="20">
        <f>MONTH(SalesData[[#This Row],[Date]])</f>
        <v>4</v>
      </c>
    </row>
    <row r="267" spans="1:11" x14ac:dyDescent="0.3">
      <c r="A267" s="5">
        <v>45386</v>
      </c>
      <c r="B267" s="9" t="s">
        <v>9</v>
      </c>
      <c r="C267" s="9" t="s">
        <v>17</v>
      </c>
      <c r="D267" s="9" t="s">
        <v>28</v>
      </c>
      <c r="E267" s="7">
        <v>6</v>
      </c>
      <c r="F267" s="11">
        <v>1835.68</v>
      </c>
      <c r="G267" s="11">
        <v>11014.08</v>
      </c>
      <c r="H267" s="11">
        <v>2273.65</v>
      </c>
      <c r="I267" s="11" t="str">
        <f>TEXT(SalesData[[#This Row],[Date]],"dddd")</f>
        <v>Thursday</v>
      </c>
      <c r="J267" s="11" t="str">
        <f>TEXT(SalesData[[#This Row],[Date]],"mmm")</f>
        <v>Apr</v>
      </c>
      <c r="K267" s="20">
        <f>MONTH(SalesData[[#This Row],[Date]])</f>
        <v>4</v>
      </c>
    </row>
    <row r="268" spans="1:11" x14ac:dyDescent="0.3">
      <c r="A268" s="5">
        <v>45386</v>
      </c>
      <c r="B268" s="9" t="s">
        <v>8</v>
      </c>
      <c r="C268" s="9" t="s">
        <v>15</v>
      </c>
      <c r="D268" s="9" t="s">
        <v>23</v>
      </c>
      <c r="E268" s="7">
        <v>3</v>
      </c>
      <c r="F268" s="11">
        <v>1923.62</v>
      </c>
      <c r="G268" s="11">
        <v>5770.86</v>
      </c>
      <c r="H268" s="11">
        <v>1379.8</v>
      </c>
      <c r="I268" s="11" t="str">
        <f>TEXT(SalesData[[#This Row],[Date]],"dddd")</f>
        <v>Thursday</v>
      </c>
      <c r="J268" s="11" t="str">
        <f>TEXT(SalesData[[#This Row],[Date]],"mmm")</f>
        <v>Apr</v>
      </c>
      <c r="K268" s="20">
        <f>MONTH(SalesData[[#This Row],[Date]])</f>
        <v>4</v>
      </c>
    </row>
    <row r="269" spans="1:11" x14ac:dyDescent="0.3">
      <c r="A269" s="5">
        <v>45387</v>
      </c>
      <c r="B269" s="9" t="s">
        <v>12</v>
      </c>
      <c r="C269" s="9" t="s">
        <v>15</v>
      </c>
      <c r="D269" s="9" t="s">
        <v>24</v>
      </c>
      <c r="E269" s="7">
        <v>2</v>
      </c>
      <c r="F269" s="11">
        <v>2470.27</v>
      </c>
      <c r="G269" s="11">
        <v>4940.54</v>
      </c>
      <c r="H269" s="11">
        <v>1081.04</v>
      </c>
      <c r="I269" s="11" t="str">
        <f>TEXT(SalesData[[#This Row],[Date]],"dddd")</f>
        <v>Friday</v>
      </c>
      <c r="J269" s="11" t="str">
        <f>TEXT(SalesData[[#This Row],[Date]],"mmm")</f>
        <v>Apr</v>
      </c>
      <c r="K269" s="20">
        <f>MONTH(SalesData[[#This Row],[Date]])</f>
        <v>4</v>
      </c>
    </row>
    <row r="270" spans="1:11" x14ac:dyDescent="0.3">
      <c r="A270" s="5">
        <v>45387</v>
      </c>
      <c r="B270" s="9" t="s">
        <v>9</v>
      </c>
      <c r="C270" s="9" t="s">
        <v>17</v>
      </c>
      <c r="D270" s="9" t="s">
        <v>28</v>
      </c>
      <c r="E270" s="7">
        <v>6</v>
      </c>
      <c r="F270" s="11">
        <v>1608.04</v>
      </c>
      <c r="G270" s="11">
        <v>9648.24</v>
      </c>
      <c r="H270" s="11">
        <v>1498.73</v>
      </c>
      <c r="I270" s="11" t="str">
        <f>TEXT(SalesData[[#This Row],[Date]],"dddd")</f>
        <v>Friday</v>
      </c>
      <c r="J270" s="11" t="str">
        <f>TEXT(SalesData[[#This Row],[Date]],"mmm")</f>
        <v>Apr</v>
      </c>
      <c r="K270" s="20">
        <f>MONTH(SalesData[[#This Row],[Date]])</f>
        <v>4</v>
      </c>
    </row>
    <row r="271" spans="1:11" x14ac:dyDescent="0.3">
      <c r="A271" s="5">
        <v>45388</v>
      </c>
      <c r="B271" s="9" t="s">
        <v>11</v>
      </c>
      <c r="C271" s="9" t="s">
        <v>14</v>
      </c>
      <c r="D271" s="9" t="s">
        <v>21</v>
      </c>
      <c r="E271" s="7">
        <v>5</v>
      </c>
      <c r="F271" s="11">
        <v>1296.32</v>
      </c>
      <c r="G271" s="11">
        <v>6481.6</v>
      </c>
      <c r="H271" s="11">
        <v>1345.19</v>
      </c>
      <c r="I271" s="11" t="str">
        <f>TEXT(SalesData[[#This Row],[Date]],"dddd")</f>
        <v>Saturday</v>
      </c>
      <c r="J271" s="11" t="str">
        <f>TEXT(SalesData[[#This Row],[Date]],"mmm")</f>
        <v>Apr</v>
      </c>
      <c r="K271" s="20">
        <f>MONTH(SalesData[[#This Row],[Date]])</f>
        <v>4</v>
      </c>
    </row>
    <row r="272" spans="1:11" x14ac:dyDescent="0.3">
      <c r="A272" s="5">
        <v>45388</v>
      </c>
      <c r="B272" s="9" t="s">
        <v>8</v>
      </c>
      <c r="C272" s="9" t="s">
        <v>17</v>
      </c>
      <c r="D272" s="9" t="s">
        <v>27</v>
      </c>
      <c r="E272" s="7">
        <v>10</v>
      </c>
      <c r="F272" s="11">
        <v>647.5</v>
      </c>
      <c r="G272" s="11">
        <v>6475</v>
      </c>
      <c r="H272" s="11">
        <v>1591.92</v>
      </c>
      <c r="I272" s="11" t="str">
        <f>TEXT(SalesData[[#This Row],[Date]],"dddd")</f>
        <v>Saturday</v>
      </c>
      <c r="J272" s="11" t="str">
        <f>TEXT(SalesData[[#This Row],[Date]],"mmm")</f>
        <v>Apr</v>
      </c>
      <c r="K272" s="20">
        <f>MONTH(SalesData[[#This Row],[Date]])</f>
        <v>4</v>
      </c>
    </row>
    <row r="273" spans="1:11" x14ac:dyDescent="0.3">
      <c r="A273" s="5">
        <v>45389</v>
      </c>
      <c r="B273" s="9" t="s">
        <v>9</v>
      </c>
      <c r="C273" s="9" t="s">
        <v>17</v>
      </c>
      <c r="D273" s="9" t="s">
        <v>27</v>
      </c>
      <c r="E273" s="7">
        <v>9</v>
      </c>
      <c r="F273" s="11">
        <v>1189.03</v>
      </c>
      <c r="G273" s="11">
        <v>10701.27</v>
      </c>
      <c r="H273" s="11">
        <v>2479.42</v>
      </c>
      <c r="I273" s="11" t="str">
        <f>TEXT(SalesData[[#This Row],[Date]],"dddd")</f>
        <v>Sunday</v>
      </c>
      <c r="J273" s="11" t="str">
        <f>TEXT(SalesData[[#This Row],[Date]],"mmm")</f>
        <v>Apr</v>
      </c>
      <c r="K273" s="20">
        <f>MONTH(SalesData[[#This Row],[Date]])</f>
        <v>4</v>
      </c>
    </row>
    <row r="274" spans="1:11" x14ac:dyDescent="0.3">
      <c r="A274" s="5">
        <v>45390</v>
      </c>
      <c r="B274" s="9" t="s">
        <v>13</v>
      </c>
      <c r="C274" s="9" t="s">
        <v>16</v>
      </c>
      <c r="D274" s="9" t="s">
        <v>29</v>
      </c>
      <c r="E274" s="7">
        <v>7</v>
      </c>
      <c r="F274" s="11">
        <v>1505.73</v>
      </c>
      <c r="G274" s="11">
        <v>10540.11</v>
      </c>
      <c r="H274" s="11">
        <v>2426.67</v>
      </c>
      <c r="I274" s="11" t="str">
        <f>TEXT(SalesData[[#This Row],[Date]],"dddd")</f>
        <v>Monday</v>
      </c>
      <c r="J274" s="11" t="str">
        <f>TEXT(SalesData[[#This Row],[Date]],"mmm")</f>
        <v>Apr</v>
      </c>
      <c r="K274" s="20">
        <f>MONTH(SalesData[[#This Row],[Date]])</f>
        <v>4</v>
      </c>
    </row>
    <row r="275" spans="1:11" x14ac:dyDescent="0.3">
      <c r="A275" s="5">
        <v>45390</v>
      </c>
      <c r="B275" s="9" t="s">
        <v>12</v>
      </c>
      <c r="C275" s="9" t="s">
        <v>16</v>
      </c>
      <c r="D275" s="9" t="s">
        <v>26</v>
      </c>
      <c r="E275" s="7">
        <v>3</v>
      </c>
      <c r="F275" s="11">
        <v>823.93</v>
      </c>
      <c r="G275" s="11">
        <v>2471.79</v>
      </c>
      <c r="H275" s="11">
        <v>593.75</v>
      </c>
      <c r="I275" s="11" t="str">
        <f>TEXT(SalesData[[#This Row],[Date]],"dddd")</f>
        <v>Monday</v>
      </c>
      <c r="J275" s="11" t="str">
        <f>TEXT(SalesData[[#This Row],[Date]],"mmm")</f>
        <v>Apr</v>
      </c>
      <c r="K275" s="20">
        <f>MONTH(SalesData[[#This Row],[Date]])</f>
        <v>4</v>
      </c>
    </row>
    <row r="276" spans="1:11" x14ac:dyDescent="0.3">
      <c r="A276" s="5">
        <v>45390</v>
      </c>
      <c r="B276" s="9" t="s">
        <v>9</v>
      </c>
      <c r="C276" s="9" t="s">
        <v>15</v>
      </c>
      <c r="D276" s="9" t="s">
        <v>23</v>
      </c>
      <c r="E276" s="7">
        <v>2</v>
      </c>
      <c r="F276" s="11">
        <v>1001.21</v>
      </c>
      <c r="G276" s="11">
        <v>2002.42</v>
      </c>
      <c r="H276" s="11">
        <v>390.99</v>
      </c>
      <c r="I276" s="11" t="str">
        <f>TEXT(SalesData[[#This Row],[Date]],"dddd")</f>
        <v>Monday</v>
      </c>
      <c r="J276" s="11" t="str">
        <f>TEXT(SalesData[[#This Row],[Date]],"mmm")</f>
        <v>Apr</v>
      </c>
      <c r="K276" s="20">
        <f>MONTH(SalesData[[#This Row],[Date]])</f>
        <v>4</v>
      </c>
    </row>
    <row r="277" spans="1:11" x14ac:dyDescent="0.3">
      <c r="A277" s="5">
        <v>45390</v>
      </c>
      <c r="B277" s="9" t="s">
        <v>8</v>
      </c>
      <c r="C277" s="9" t="s">
        <v>15</v>
      </c>
      <c r="D277" s="9" t="s">
        <v>24</v>
      </c>
      <c r="E277" s="7">
        <v>5</v>
      </c>
      <c r="F277" s="11">
        <v>1728.86</v>
      </c>
      <c r="G277" s="11">
        <v>8644.2999999999993</v>
      </c>
      <c r="H277" s="11">
        <v>985.57</v>
      </c>
      <c r="I277" s="11" t="str">
        <f>TEXT(SalesData[[#This Row],[Date]],"dddd")</f>
        <v>Monday</v>
      </c>
      <c r="J277" s="11" t="str">
        <f>TEXT(SalesData[[#This Row],[Date]],"mmm")</f>
        <v>Apr</v>
      </c>
      <c r="K277" s="20">
        <f>MONTH(SalesData[[#This Row],[Date]])</f>
        <v>4</v>
      </c>
    </row>
    <row r="278" spans="1:11" x14ac:dyDescent="0.3">
      <c r="A278" s="5">
        <v>45390</v>
      </c>
      <c r="B278" s="9" t="s">
        <v>8</v>
      </c>
      <c r="C278" s="9" t="s">
        <v>16</v>
      </c>
      <c r="D278" s="9" t="s">
        <v>25</v>
      </c>
      <c r="E278" s="7">
        <v>10</v>
      </c>
      <c r="F278" s="11">
        <v>808.39</v>
      </c>
      <c r="G278" s="11">
        <v>8083.9</v>
      </c>
      <c r="H278" s="11">
        <v>1607.16</v>
      </c>
      <c r="I278" s="11" t="str">
        <f>TEXT(SalesData[[#This Row],[Date]],"dddd")</f>
        <v>Monday</v>
      </c>
      <c r="J278" s="11" t="str">
        <f>TEXT(SalesData[[#This Row],[Date]],"mmm")</f>
        <v>Apr</v>
      </c>
      <c r="K278" s="20">
        <f>MONTH(SalesData[[#This Row],[Date]])</f>
        <v>4</v>
      </c>
    </row>
    <row r="279" spans="1:11" x14ac:dyDescent="0.3">
      <c r="A279" s="5">
        <v>45391</v>
      </c>
      <c r="B279" s="9" t="s">
        <v>9</v>
      </c>
      <c r="C279" s="9" t="s">
        <v>15</v>
      </c>
      <c r="D279" s="9" t="s">
        <v>22</v>
      </c>
      <c r="E279" s="7">
        <v>1</v>
      </c>
      <c r="F279" s="11">
        <v>662.45</v>
      </c>
      <c r="G279" s="11">
        <v>662.45</v>
      </c>
      <c r="H279" s="11">
        <v>160.5</v>
      </c>
      <c r="I279" s="11" t="str">
        <f>TEXT(SalesData[[#This Row],[Date]],"dddd")</f>
        <v>Tuesday</v>
      </c>
      <c r="J279" s="11" t="str">
        <f>TEXT(SalesData[[#This Row],[Date]],"mmm")</f>
        <v>Apr</v>
      </c>
      <c r="K279" s="20">
        <f>MONTH(SalesData[[#This Row],[Date]])</f>
        <v>4</v>
      </c>
    </row>
    <row r="280" spans="1:11" x14ac:dyDescent="0.3">
      <c r="A280" s="5">
        <v>45391</v>
      </c>
      <c r="B280" s="9" t="s">
        <v>11</v>
      </c>
      <c r="C280" s="9" t="s">
        <v>15</v>
      </c>
      <c r="D280" s="9" t="s">
        <v>24</v>
      </c>
      <c r="E280" s="7">
        <v>10</v>
      </c>
      <c r="F280" s="11">
        <v>1333.17</v>
      </c>
      <c r="G280" s="11">
        <v>13331.7</v>
      </c>
      <c r="H280" s="11">
        <v>2611</v>
      </c>
      <c r="I280" s="11" t="str">
        <f>TEXT(SalesData[[#This Row],[Date]],"dddd")</f>
        <v>Tuesday</v>
      </c>
      <c r="J280" s="11" t="str">
        <f>TEXT(SalesData[[#This Row],[Date]],"mmm")</f>
        <v>Apr</v>
      </c>
      <c r="K280" s="20">
        <f>MONTH(SalesData[[#This Row],[Date]])</f>
        <v>4</v>
      </c>
    </row>
    <row r="281" spans="1:11" x14ac:dyDescent="0.3">
      <c r="A281" s="5">
        <v>45391</v>
      </c>
      <c r="B281" s="9" t="s">
        <v>11</v>
      </c>
      <c r="C281" s="9" t="s">
        <v>15</v>
      </c>
      <c r="D281" s="9" t="s">
        <v>23</v>
      </c>
      <c r="E281" s="7">
        <v>8</v>
      </c>
      <c r="F281" s="11">
        <v>989.76</v>
      </c>
      <c r="G281" s="11">
        <v>7918.08</v>
      </c>
      <c r="H281" s="11">
        <v>1750.71</v>
      </c>
      <c r="I281" s="11" t="str">
        <f>TEXT(SalesData[[#This Row],[Date]],"dddd")</f>
        <v>Tuesday</v>
      </c>
      <c r="J281" s="11" t="str">
        <f>TEXT(SalesData[[#This Row],[Date]],"mmm")</f>
        <v>Apr</v>
      </c>
      <c r="K281" s="20">
        <f>MONTH(SalesData[[#This Row],[Date]])</f>
        <v>4</v>
      </c>
    </row>
    <row r="282" spans="1:11" x14ac:dyDescent="0.3">
      <c r="A282" s="5">
        <v>45391</v>
      </c>
      <c r="B282" s="9" t="s">
        <v>11</v>
      </c>
      <c r="C282" s="9" t="s">
        <v>15</v>
      </c>
      <c r="D282" s="9" t="s">
        <v>30</v>
      </c>
      <c r="E282" s="7">
        <v>2</v>
      </c>
      <c r="F282" s="11">
        <v>1877.23</v>
      </c>
      <c r="G282" s="11">
        <v>3754.46</v>
      </c>
      <c r="H282" s="11">
        <v>464.47</v>
      </c>
      <c r="I282" s="11" t="str">
        <f>TEXT(SalesData[[#This Row],[Date]],"dddd")</f>
        <v>Tuesday</v>
      </c>
      <c r="J282" s="11" t="str">
        <f>TEXT(SalesData[[#This Row],[Date]],"mmm")</f>
        <v>Apr</v>
      </c>
      <c r="K282" s="20">
        <f>MONTH(SalesData[[#This Row],[Date]])</f>
        <v>4</v>
      </c>
    </row>
    <row r="283" spans="1:11" x14ac:dyDescent="0.3">
      <c r="A283" s="5">
        <v>45391</v>
      </c>
      <c r="B283" s="9" t="s">
        <v>8</v>
      </c>
      <c r="C283" s="9" t="s">
        <v>17</v>
      </c>
      <c r="D283" s="9" t="s">
        <v>27</v>
      </c>
      <c r="E283" s="7">
        <v>4</v>
      </c>
      <c r="F283" s="11">
        <v>1180.3900000000001</v>
      </c>
      <c r="G283" s="11">
        <v>4721.5600000000004</v>
      </c>
      <c r="H283" s="11">
        <v>573.91</v>
      </c>
      <c r="I283" s="11" t="str">
        <f>TEXT(SalesData[[#This Row],[Date]],"dddd")</f>
        <v>Tuesday</v>
      </c>
      <c r="J283" s="11" t="str">
        <f>TEXT(SalesData[[#This Row],[Date]],"mmm")</f>
        <v>Apr</v>
      </c>
      <c r="K283" s="20">
        <f>MONTH(SalesData[[#This Row],[Date]])</f>
        <v>4</v>
      </c>
    </row>
    <row r="284" spans="1:11" x14ac:dyDescent="0.3">
      <c r="A284" s="5">
        <v>45392</v>
      </c>
      <c r="B284" s="9" t="s">
        <v>13</v>
      </c>
      <c r="C284" s="9" t="s">
        <v>15</v>
      </c>
      <c r="D284" s="9" t="s">
        <v>30</v>
      </c>
      <c r="E284" s="7">
        <v>3</v>
      </c>
      <c r="F284" s="11">
        <v>2021.33</v>
      </c>
      <c r="G284" s="11">
        <v>6063.99</v>
      </c>
      <c r="H284" s="11">
        <v>1074.82</v>
      </c>
      <c r="I284" s="11" t="str">
        <f>TEXT(SalesData[[#This Row],[Date]],"dddd")</f>
        <v>Wednesday</v>
      </c>
      <c r="J284" s="11" t="str">
        <f>TEXT(SalesData[[#This Row],[Date]],"mmm")</f>
        <v>Apr</v>
      </c>
      <c r="K284" s="20">
        <f>MONTH(SalesData[[#This Row],[Date]])</f>
        <v>4</v>
      </c>
    </row>
    <row r="285" spans="1:11" x14ac:dyDescent="0.3">
      <c r="A285" s="5">
        <v>45392</v>
      </c>
      <c r="B285" s="9" t="s">
        <v>12</v>
      </c>
      <c r="C285" s="9" t="s">
        <v>15</v>
      </c>
      <c r="D285" s="9" t="s">
        <v>24</v>
      </c>
      <c r="E285" s="7">
        <v>8</v>
      </c>
      <c r="F285" s="11">
        <v>745.04</v>
      </c>
      <c r="G285" s="11">
        <v>5960.32</v>
      </c>
      <c r="H285" s="11">
        <v>997.99</v>
      </c>
      <c r="I285" s="11" t="str">
        <f>TEXT(SalesData[[#This Row],[Date]],"dddd")</f>
        <v>Wednesday</v>
      </c>
      <c r="J285" s="11" t="str">
        <f>TEXT(SalesData[[#This Row],[Date]],"mmm")</f>
        <v>Apr</v>
      </c>
      <c r="K285" s="20">
        <f>MONTH(SalesData[[#This Row],[Date]])</f>
        <v>4</v>
      </c>
    </row>
    <row r="286" spans="1:11" x14ac:dyDescent="0.3">
      <c r="A286" s="5">
        <v>45392</v>
      </c>
      <c r="B286" s="9" t="s">
        <v>11</v>
      </c>
      <c r="C286" s="9" t="s">
        <v>14</v>
      </c>
      <c r="D286" s="9" t="s">
        <v>21</v>
      </c>
      <c r="E286" s="7">
        <v>5</v>
      </c>
      <c r="F286" s="11">
        <v>2390.77</v>
      </c>
      <c r="G286" s="11">
        <v>11953.85</v>
      </c>
      <c r="H286" s="11">
        <v>2744.9</v>
      </c>
      <c r="I286" s="11" t="str">
        <f>TEXT(SalesData[[#This Row],[Date]],"dddd")</f>
        <v>Wednesday</v>
      </c>
      <c r="J286" s="11" t="str">
        <f>TEXT(SalesData[[#This Row],[Date]],"mmm")</f>
        <v>Apr</v>
      </c>
      <c r="K286" s="20">
        <f>MONTH(SalesData[[#This Row],[Date]])</f>
        <v>4</v>
      </c>
    </row>
    <row r="287" spans="1:11" x14ac:dyDescent="0.3">
      <c r="A287" s="5">
        <v>45393</v>
      </c>
      <c r="B287" s="9" t="s">
        <v>12</v>
      </c>
      <c r="C287" s="9" t="s">
        <v>16</v>
      </c>
      <c r="D287" s="9" t="s">
        <v>26</v>
      </c>
      <c r="E287" s="7">
        <v>10</v>
      </c>
      <c r="F287" s="11">
        <v>1942.26</v>
      </c>
      <c r="G287" s="11">
        <v>19422.599999999999</v>
      </c>
      <c r="H287" s="11">
        <v>2495.3200000000002</v>
      </c>
      <c r="I287" s="11" t="str">
        <f>TEXT(SalesData[[#This Row],[Date]],"dddd")</f>
        <v>Thursday</v>
      </c>
      <c r="J287" s="11" t="str">
        <f>TEXT(SalesData[[#This Row],[Date]],"mmm")</f>
        <v>Apr</v>
      </c>
      <c r="K287" s="20">
        <f>MONTH(SalesData[[#This Row],[Date]])</f>
        <v>4</v>
      </c>
    </row>
    <row r="288" spans="1:11" x14ac:dyDescent="0.3">
      <c r="A288" s="5">
        <v>45393</v>
      </c>
      <c r="B288" s="9" t="s">
        <v>13</v>
      </c>
      <c r="C288" s="9" t="s">
        <v>17</v>
      </c>
      <c r="D288" s="9" t="s">
        <v>27</v>
      </c>
      <c r="E288" s="7">
        <v>8</v>
      </c>
      <c r="F288" s="11">
        <v>2258.15</v>
      </c>
      <c r="G288" s="11">
        <v>18065.2</v>
      </c>
      <c r="H288" s="11">
        <v>3154.28</v>
      </c>
      <c r="I288" s="11" t="str">
        <f>TEXT(SalesData[[#This Row],[Date]],"dddd")</f>
        <v>Thursday</v>
      </c>
      <c r="J288" s="11" t="str">
        <f>TEXT(SalesData[[#This Row],[Date]],"mmm")</f>
        <v>Apr</v>
      </c>
      <c r="K288" s="20">
        <f>MONTH(SalesData[[#This Row],[Date]])</f>
        <v>4</v>
      </c>
    </row>
    <row r="289" spans="1:11" x14ac:dyDescent="0.3">
      <c r="A289" s="5">
        <v>45394</v>
      </c>
      <c r="B289" s="9" t="s">
        <v>10</v>
      </c>
      <c r="C289" s="9" t="s">
        <v>17</v>
      </c>
      <c r="D289" s="9" t="s">
        <v>28</v>
      </c>
      <c r="E289" s="7">
        <v>4</v>
      </c>
      <c r="F289" s="11">
        <v>1666.69</v>
      </c>
      <c r="G289" s="11">
        <v>6666.76</v>
      </c>
      <c r="H289" s="11">
        <v>715.33</v>
      </c>
      <c r="I289" s="11" t="str">
        <f>TEXT(SalesData[[#This Row],[Date]],"dddd")</f>
        <v>Friday</v>
      </c>
      <c r="J289" s="11" t="str">
        <f>TEXT(SalesData[[#This Row],[Date]],"mmm")</f>
        <v>Apr</v>
      </c>
      <c r="K289" s="20">
        <f>MONTH(SalesData[[#This Row],[Date]])</f>
        <v>4</v>
      </c>
    </row>
    <row r="290" spans="1:11" x14ac:dyDescent="0.3">
      <c r="A290" s="5">
        <v>45394</v>
      </c>
      <c r="B290" s="9" t="s">
        <v>11</v>
      </c>
      <c r="C290" s="9" t="s">
        <v>17</v>
      </c>
      <c r="D290" s="9" t="s">
        <v>27</v>
      </c>
      <c r="E290" s="7">
        <v>5</v>
      </c>
      <c r="F290" s="11">
        <v>1573.38</v>
      </c>
      <c r="G290" s="11">
        <v>7866.9</v>
      </c>
      <c r="H290" s="11">
        <v>1786.38</v>
      </c>
      <c r="I290" s="11" t="str">
        <f>TEXT(SalesData[[#This Row],[Date]],"dddd")</f>
        <v>Friday</v>
      </c>
      <c r="J290" s="11" t="str">
        <f>TEXT(SalesData[[#This Row],[Date]],"mmm")</f>
        <v>Apr</v>
      </c>
      <c r="K290" s="20">
        <f>MONTH(SalesData[[#This Row],[Date]])</f>
        <v>4</v>
      </c>
    </row>
    <row r="291" spans="1:11" x14ac:dyDescent="0.3">
      <c r="A291" s="5">
        <v>45394</v>
      </c>
      <c r="B291" s="9" t="s">
        <v>11</v>
      </c>
      <c r="C291" s="9" t="s">
        <v>16</v>
      </c>
      <c r="D291" s="9" t="s">
        <v>26</v>
      </c>
      <c r="E291" s="7">
        <v>6</v>
      </c>
      <c r="F291" s="11">
        <v>2027.71</v>
      </c>
      <c r="G291" s="11">
        <v>12166.26</v>
      </c>
      <c r="H291" s="11">
        <v>1884.44</v>
      </c>
      <c r="I291" s="11" t="str">
        <f>TEXT(SalesData[[#This Row],[Date]],"dddd")</f>
        <v>Friday</v>
      </c>
      <c r="J291" s="11" t="str">
        <f>TEXT(SalesData[[#This Row],[Date]],"mmm")</f>
        <v>Apr</v>
      </c>
      <c r="K291" s="20">
        <f>MONTH(SalesData[[#This Row],[Date]])</f>
        <v>4</v>
      </c>
    </row>
    <row r="292" spans="1:11" x14ac:dyDescent="0.3">
      <c r="A292" s="5">
        <v>45394</v>
      </c>
      <c r="B292" s="9" t="s">
        <v>9</v>
      </c>
      <c r="C292" s="9" t="s">
        <v>14</v>
      </c>
      <c r="D292" s="9" t="s">
        <v>20</v>
      </c>
      <c r="E292" s="7">
        <v>6</v>
      </c>
      <c r="F292" s="11">
        <v>1606.45</v>
      </c>
      <c r="G292" s="11">
        <v>9638.7000000000007</v>
      </c>
      <c r="H292" s="11">
        <v>1070.18</v>
      </c>
      <c r="I292" s="11" t="str">
        <f>TEXT(SalesData[[#This Row],[Date]],"dddd")</f>
        <v>Friday</v>
      </c>
      <c r="J292" s="11" t="str">
        <f>TEXT(SalesData[[#This Row],[Date]],"mmm")</f>
        <v>Apr</v>
      </c>
      <c r="K292" s="20">
        <f>MONTH(SalesData[[#This Row],[Date]])</f>
        <v>4</v>
      </c>
    </row>
    <row r="293" spans="1:11" x14ac:dyDescent="0.3">
      <c r="A293" s="5">
        <v>45395</v>
      </c>
      <c r="B293" s="9" t="s">
        <v>10</v>
      </c>
      <c r="C293" s="9" t="s">
        <v>15</v>
      </c>
      <c r="D293" s="9" t="s">
        <v>22</v>
      </c>
      <c r="E293" s="7">
        <v>3</v>
      </c>
      <c r="F293" s="11">
        <v>2450.17</v>
      </c>
      <c r="G293" s="11">
        <v>7350.51</v>
      </c>
      <c r="H293" s="11">
        <v>1169.3599999999999</v>
      </c>
      <c r="I293" s="11" t="str">
        <f>TEXT(SalesData[[#This Row],[Date]],"dddd")</f>
        <v>Saturday</v>
      </c>
      <c r="J293" s="11" t="str">
        <f>TEXT(SalesData[[#This Row],[Date]],"mmm")</f>
        <v>Apr</v>
      </c>
      <c r="K293" s="20">
        <f>MONTH(SalesData[[#This Row],[Date]])</f>
        <v>4</v>
      </c>
    </row>
    <row r="294" spans="1:11" x14ac:dyDescent="0.3">
      <c r="A294" s="5">
        <v>45395</v>
      </c>
      <c r="B294" s="9" t="s">
        <v>13</v>
      </c>
      <c r="C294" s="9" t="s">
        <v>15</v>
      </c>
      <c r="D294" s="9" t="s">
        <v>24</v>
      </c>
      <c r="E294" s="7">
        <v>4</v>
      </c>
      <c r="F294" s="11">
        <v>1704.93</v>
      </c>
      <c r="G294" s="11">
        <v>6819.72</v>
      </c>
      <c r="H294" s="11">
        <v>1092.57</v>
      </c>
      <c r="I294" s="11" t="str">
        <f>TEXT(SalesData[[#This Row],[Date]],"dddd")</f>
        <v>Saturday</v>
      </c>
      <c r="J294" s="11" t="str">
        <f>TEXT(SalesData[[#This Row],[Date]],"mmm")</f>
        <v>Apr</v>
      </c>
      <c r="K294" s="20">
        <f>MONTH(SalesData[[#This Row],[Date]])</f>
        <v>4</v>
      </c>
    </row>
    <row r="295" spans="1:11" x14ac:dyDescent="0.3">
      <c r="A295" s="5">
        <v>45395</v>
      </c>
      <c r="B295" s="9" t="s">
        <v>9</v>
      </c>
      <c r="C295" s="9" t="s">
        <v>14</v>
      </c>
      <c r="D295" s="9" t="s">
        <v>21</v>
      </c>
      <c r="E295" s="7">
        <v>3</v>
      </c>
      <c r="F295" s="11">
        <v>1927.18</v>
      </c>
      <c r="G295" s="11">
        <v>5781.54</v>
      </c>
      <c r="H295" s="11">
        <v>1275.3800000000001</v>
      </c>
      <c r="I295" s="11" t="str">
        <f>TEXT(SalesData[[#This Row],[Date]],"dddd")</f>
        <v>Saturday</v>
      </c>
      <c r="J295" s="11" t="str">
        <f>TEXT(SalesData[[#This Row],[Date]],"mmm")</f>
        <v>Apr</v>
      </c>
      <c r="K295" s="20">
        <f>MONTH(SalesData[[#This Row],[Date]])</f>
        <v>4</v>
      </c>
    </row>
    <row r="296" spans="1:11" x14ac:dyDescent="0.3">
      <c r="A296" s="5">
        <v>45395</v>
      </c>
      <c r="B296" s="9" t="s">
        <v>9</v>
      </c>
      <c r="C296" s="9" t="s">
        <v>17</v>
      </c>
      <c r="D296" s="9" t="s">
        <v>28</v>
      </c>
      <c r="E296" s="7">
        <v>10</v>
      </c>
      <c r="F296" s="11">
        <v>2286.2600000000002</v>
      </c>
      <c r="G296" s="11">
        <v>22862.6</v>
      </c>
      <c r="H296" s="11">
        <v>2765.62</v>
      </c>
      <c r="I296" s="11" t="str">
        <f>TEXT(SalesData[[#This Row],[Date]],"dddd")</f>
        <v>Saturday</v>
      </c>
      <c r="J296" s="11" t="str">
        <f>TEXT(SalesData[[#This Row],[Date]],"mmm")</f>
        <v>Apr</v>
      </c>
      <c r="K296" s="20">
        <f>MONTH(SalesData[[#This Row],[Date]])</f>
        <v>4</v>
      </c>
    </row>
    <row r="297" spans="1:11" x14ac:dyDescent="0.3">
      <c r="A297" s="5">
        <v>45396</v>
      </c>
      <c r="B297" s="9" t="s">
        <v>10</v>
      </c>
      <c r="C297" s="9" t="s">
        <v>16</v>
      </c>
      <c r="D297" s="9" t="s">
        <v>26</v>
      </c>
      <c r="E297" s="7">
        <v>10</v>
      </c>
      <c r="F297" s="11">
        <v>1978.64</v>
      </c>
      <c r="G297" s="11">
        <v>19786.400000000001</v>
      </c>
      <c r="H297" s="11">
        <v>2866.76</v>
      </c>
      <c r="I297" s="11" t="str">
        <f>TEXT(SalesData[[#This Row],[Date]],"dddd")</f>
        <v>Sunday</v>
      </c>
      <c r="J297" s="11" t="str">
        <f>TEXT(SalesData[[#This Row],[Date]],"mmm")</f>
        <v>Apr</v>
      </c>
      <c r="K297" s="20">
        <f>MONTH(SalesData[[#This Row],[Date]])</f>
        <v>4</v>
      </c>
    </row>
    <row r="298" spans="1:11" x14ac:dyDescent="0.3">
      <c r="A298" s="5">
        <v>45396</v>
      </c>
      <c r="B298" s="9" t="s">
        <v>8</v>
      </c>
      <c r="C298" s="9" t="s">
        <v>17</v>
      </c>
      <c r="D298" s="9" t="s">
        <v>27</v>
      </c>
      <c r="E298" s="7">
        <v>8</v>
      </c>
      <c r="F298" s="11">
        <v>2131.5</v>
      </c>
      <c r="G298" s="11">
        <v>17052</v>
      </c>
      <c r="H298" s="11">
        <v>2647.39</v>
      </c>
      <c r="I298" s="11" t="str">
        <f>TEXT(SalesData[[#This Row],[Date]],"dddd")</f>
        <v>Sunday</v>
      </c>
      <c r="J298" s="11" t="str">
        <f>TEXT(SalesData[[#This Row],[Date]],"mmm")</f>
        <v>Apr</v>
      </c>
      <c r="K298" s="20">
        <f>MONTH(SalesData[[#This Row],[Date]])</f>
        <v>4</v>
      </c>
    </row>
    <row r="299" spans="1:11" x14ac:dyDescent="0.3">
      <c r="A299" s="5">
        <v>45396</v>
      </c>
      <c r="B299" s="9" t="s">
        <v>8</v>
      </c>
      <c r="C299" s="9" t="s">
        <v>14</v>
      </c>
      <c r="D299" s="9" t="s">
        <v>19</v>
      </c>
      <c r="E299" s="7">
        <v>10</v>
      </c>
      <c r="F299" s="11">
        <v>1115.3599999999999</v>
      </c>
      <c r="G299" s="11">
        <v>11153.6</v>
      </c>
      <c r="H299" s="11">
        <v>2619.0300000000002</v>
      </c>
      <c r="I299" s="11" t="str">
        <f>TEXT(SalesData[[#This Row],[Date]],"dddd")</f>
        <v>Sunday</v>
      </c>
      <c r="J299" s="11" t="str">
        <f>TEXT(SalesData[[#This Row],[Date]],"mmm")</f>
        <v>Apr</v>
      </c>
      <c r="K299" s="20">
        <f>MONTH(SalesData[[#This Row],[Date]])</f>
        <v>4</v>
      </c>
    </row>
    <row r="300" spans="1:11" x14ac:dyDescent="0.3">
      <c r="A300" s="5">
        <v>45397</v>
      </c>
      <c r="B300" s="9" t="s">
        <v>9</v>
      </c>
      <c r="C300" s="9" t="s">
        <v>17</v>
      </c>
      <c r="D300" s="9" t="s">
        <v>27</v>
      </c>
      <c r="E300" s="7">
        <v>10</v>
      </c>
      <c r="F300" s="11">
        <v>1655.27</v>
      </c>
      <c r="G300" s="11">
        <v>16552.7</v>
      </c>
      <c r="H300" s="11">
        <v>3446.44</v>
      </c>
      <c r="I300" s="11" t="str">
        <f>TEXT(SalesData[[#This Row],[Date]],"dddd")</f>
        <v>Monday</v>
      </c>
      <c r="J300" s="11" t="str">
        <f>TEXT(SalesData[[#This Row],[Date]],"mmm")</f>
        <v>Apr</v>
      </c>
      <c r="K300" s="20">
        <f>MONTH(SalesData[[#This Row],[Date]])</f>
        <v>4</v>
      </c>
    </row>
    <row r="301" spans="1:11" x14ac:dyDescent="0.3">
      <c r="A301" s="5">
        <v>45398</v>
      </c>
      <c r="B301" s="9" t="s">
        <v>8</v>
      </c>
      <c r="C301" s="9" t="s">
        <v>16</v>
      </c>
      <c r="D301" s="9" t="s">
        <v>25</v>
      </c>
      <c r="E301" s="7">
        <v>10</v>
      </c>
      <c r="F301" s="11">
        <v>2049.21</v>
      </c>
      <c r="G301" s="11">
        <v>20492.099999999999</v>
      </c>
      <c r="H301" s="11">
        <v>3217.84</v>
      </c>
      <c r="I301" s="11" t="str">
        <f>TEXT(SalesData[[#This Row],[Date]],"dddd")</f>
        <v>Tuesday</v>
      </c>
      <c r="J301" s="11" t="str">
        <f>TEXT(SalesData[[#This Row],[Date]],"mmm")</f>
        <v>Apr</v>
      </c>
      <c r="K301" s="20">
        <f>MONTH(SalesData[[#This Row],[Date]])</f>
        <v>4</v>
      </c>
    </row>
    <row r="302" spans="1:11" x14ac:dyDescent="0.3">
      <c r="A302" s="5">
        <v>45398</v>
      </c>
      <c r="B302" s="9" t="s">
        <v>13</v>
      </c>
      <c r="C302" s="9" t="s">
        <v>16</v>
      </c>
      <c r="D302" s="9" t="s">
        <v>29</v>
      </c>
      <c r="E302" s="7">
        <v>10</v>
      </c>
      <c r="F302" s="11">
        <v>2396.41</v>
      </c>
      <c r="G302" s="11">
        <v>23964.1</v>
      </c>
      <c r="H302" s="11">
        <v>2791.44</v>
      </c>
      <c r="I302" s="11" t="str">
        <f>TEXT(SalesData[[#This Row],[Date]],"dddd")</f>
        <v>Tuesday</v>
      </c>
      <c r="J302" s="11" t="str">
        <f>TEXT(SalesData[[#This Row],[Date]],"mmm")</f>
        <v>Apr</v>
      </c>
      <c r="K302" s="20">
        <f>MONTH(SalesData[[#This Row],[Date]])</f>
        <v>4</v>
      </c>
    </row>
    <row r="303" spans="1:11" x14ac:dyDescent="0.3">
      <c r="A303" s="5">
        <v>45398</v>
      </c>
      <c r="B303" s="9" t="s">
        <v>11</v>
      </c>
      <c r="C303" s="9" t="s">
        <v>17</v>
      </c>
      <c r="D303" s="9" t="s">
        <v>27</v>
      </c>
      <c r="E303" s="7">
        <v>7</v>
      </c>
      <c r="F303" s="11">
        <v>802.86</v>
      </c>
      <c r="G303" s="11">
        <v>5620.02</v>
      </c>
      <c r="H303" s="11">
        <v>1144.0999999999999</v>
      </c>
      <c r="I303" s="11" t="str">
        <f>TEXT(SalesData[[#This Row],[Date]],"dddd")</f>
        <v>Tuesday</v>
      </c>
      <c r="J303" s="11" t="str">
        <f>TEXT(SalesData[[#This Row],[Date]],"mmm")</f>
        <v>Apr</v>
      </c>
      <c r="K303" s="20">
        <f>MONTH(SalesData[[#This Row],[Date]])</f>
        <v>4</v>
      </c>
    </row>
    <row r="304" spans="1:11" x14ac:dyDescent="0.3">
      <c r="A304" s="5">
        <v>45398</v>
      </c>
      <c r="B304" s="9" t="s">
        <v>8</v>
      </c>
      <c r="C304" s="9" t="s">
        <v>17</v>
      </c>
      <c r="D304" s="9" t="s">
        <v>28</v>
      </c>
      <c r="E304" s="7">
        <v>3</v>
      </c>
      <c r="F304" s="11">
        <v>1537.37</v>
      </c>
      <c r="G304" s="11">
        <v>4612.1099999999997</v>
      </c>
      <c r="H304" s="11">
        <v>849.24</v>
      </c>
      <c r="I304" s="11" t="str">
        <f>TEXT(SalesData[[#This Row],[Date]],"dddd")</f>
        <v>Tuesday</v>
      </c>
      <c r="J304" s="11" t="str">
        <f>TEXT(SalesData[[#This Row],[Date]],"mmm")</f>
        <v>Apr</v>
      </c>
      <c r="K304" s="20">
        <f>MONTH(SalesData[[#This Row],[Date]])</f>
        <v>4</v>
      </c>
    </row>
    <row r="305" spans="1:11" x14ac:dyDescent="0.3">
      <c r="A305" s="5">
        <v>45399</v>
      </c>
      <c r="B305" s="9" t="s">
        <v>9</v>
      </c>
      <c r="C305" s="9" t="s">
        <v>17</v>
      </c>
      <c r="D305" s="9" t="s">
        <v>27</v>
      </c>
      <c r="E305" s="7">
        <v>3</v>
      </c>
      <c r="F305" s="11">
        <v>1419.33</v>
      </c>
      <c r="G305" s="11">
        <v>4257.99</v>
      </c>
      <c r="H305" s="11">
        <v>766.31</v>
      </c>
      <c r="I305" s="11" t="str">
        <f>TEXT(SalesData[[#This Row],[Date]],"dddd")</f>
        <v>Wednesday</v>
      </c>
      <c r="J305" s="11" t="str">
        <f>TEXT(SalesData[[#This Row],[Date]],"mmm")</f>
        <v>Apr</v>
      </c>
      <c r="K305" s="20">
        <f>MONTH(SalesData[[#This Row],[Date]])</f>
        <v>4</v>
      </c>
    </row>
    <row r="306" spans="1:11" x14ac:dyDescent="0.3">
      <c r="A306" s="5">
        <v>45399</v>
      </c>
      <c r="B306" s="9" t="s">
        <v>10</v>
      </c>
      <c r="C306" s="9" t="s">
        <v>15</v>
      </c>
      <c r="D306" s="9" t="s">
        <v>23</v>
      </c>
      <c r="E306" s="7">
        <v>10</v>
      </c>
      <c r="F306" s="11">
        <v>1468.36</v>
      </c>
      <c r="G306" s="11">
        <v>14683.6</v>
      </c>
      <c r="H306" s="11">
        <v>3576.93</v>
      </c>
      <c r="I306" s="11" t="str">
        <f>TEXT(SalesData[[#This Row],[Date]],"dddd")</f>
        <v>Wednesday</v>
      </c>
      <c r="J306" s="11" t="str">
        <f>TEXT(SalesData[[#This Row],[Date]],"mmm")</f>
        <v>Apr</v>
      </c>
      <c r="K306" s="20">
        <f>MONTH(SalesData[[#This Row],[Date]])</f>
        <v>4</v>
      </c>
    </row>
    <row r="307" spans="1:11" x14ac:dyDescent="0.3">
      <c r="A307" s="5">
        <v>45399</v>
      </c>
      <c r="B307" s="9" t="s">
        <v>8</v>
      </c>
      <c r="C307" s="9" t="s">
        <v>15</v>
      </c>
      <c r="D307" s="9" t="s">
        <v>24</v>
      </c>
      <c r="E307" s="7">
        <v>5</v>
      </c>
      <c r="F307" s="11">
        <v>2042.35</v>
      </c>
      <c r="G307" s="11">
        <v>10211.75</v>
      </c>
      <c r="H307" s="11">
        <v>2100.92</v>
      </c>
      <c r="I307" s="11" t="str">
        <f>TEXT(SalesData[[#This Row],[Date]],"dddd")</f>
        <v>Wednesday</v>
      </c>
      <c r="J307" s="11" t="str">
        <f>TEXT(SalesData[[#This Row],[Date]],"mmm")</f>
        <v>Apr</v>
      </c>
      <c r="K307" s="20">
        <f>MONTH(SalesData[[#This Row],[Date]])</f>
        <v>4</v>
      </c>
    </row>
    <row r="308" spans="1:11" x14ac:dyDescent="0.3">
      <c r="A308" s="5">
        <v>45399</v>
      </c>
      <c r="B308" s="9" t="s">
        <v>8</v>
      </c>
      <c r="C308" s="9" t="s">
        <v>17</v>
      </c>
      <c r="D308" s="9" t="s">
        <v>27</v>
      </c>
      <c r="E308" s="7">
        <v>8</v>
      </c>
      <c r="F308" s="11">
        <v>1197.6099999999999</v>
      </c>
      <c r="G308" s="11">
        <v>9580.8799999999992</v>
      </c>
      <c r="H308" s="11">
        <v>2299.94</v>
      </c>
      <c r="I308" s="11" t="str">
        <f>TEXT(SalesData[[#This Row],[Date]],"dddd")</f>
        <v>Wednesday</v>
      </c>
      <c r="J308" s="11" t="str">
        <f>TEXT(SalesData[[#This Row],[Date]],"mmm")</f>
        <v>Apr</v>
      </c>
      <c r="K308" s="20">
        <f>MONTH(SalesData[[#This Row],[Date]])</f>
        <v>4</v>
      </c>
    </row>
    <row r="309" spans="1:11" x14ac:dyDescent="0.3">
      <c r="A309" s="5">
        <v>45400</v>
      </c>
      <c r="B309" s="9" t="s">
        <v>11</v>
      </c>
      <c r="C309" s="9" t="s">
        <v>15</v>
      </c>
      <c r="D309" s="9" t="s">
        <v>22</v>
      </c>
      <c r="E309" s="7">
        <v>10</v>
      </c>
      <c r="F309" s="11">
        <v>1853.24</v>
      </c>
      <c r="G309" s="11">
        <v>18532.400000000001</v>
      </c>
      <c r="H309" s="11">
        <v>2908.74</v>
      </c>
      <c r="I309" s="11" t="str">
        <f>TEXT(SalesData[[#This Row],[Date]],"dddd")</f>
        <v>Thursday</v>
      </c>
      <c r="J309" s="11" t="str">
        <f>TEXT(SalesData[[#This Row],[Date]],"mmm")</f>
        <v>Apr</v>
      </c>
      <c r="K309" s="20">
        <f>MONTH(SalesData[[#This Row],[Date]])</f>
        <v>4</v>
      </c>
    </row>
    <row r="310" spans="1:11" x14ac:dyDescent="0.3">
      <c r="A310" s="5">
        <v>45400</v>
      </c>
      <c r="B310" s="9" t="s">
        <v>13</v>
      </c>
      <c r="C310" s="9" t="s">
        <v>15</v>
      </c>
      <c r="D310" s="9" t="s">
        <v>24</v>
      </c>
      <c r="E310" s="7">
        <v>5</v>
      </c>
      <c r="F310" s="11">
        <v>584.13</v>
      </c>
      <c r="G310" s="11">
        <v>2920.65</v>
      </c>
      <c r="H310" s="11">
        <v>710.59</v>
      </c>
      <c r="I310" s="11" t="str">
        <f>TEXT(SalesData[[#This Row],[Date]],"dddd")</f>
        <v>Thursday</v>
      </c>
      <c r="J310" s="11" t="str">
        <f>TEXT(SalesData[[#This Row],[Date]],"mmm")</f>
        <v>Apr</v>
      </c>
      <c r="K310" s="20">
        <f>MONTH(SalesData[[#This Row],[Date]])</f>
        <v>4</v>
      </c>
    </row>
    <row r="311" spans="1:11" x14ac:dyDescent="0.3">
      <c r="A311" s="5">
        <v>45400</v>
      </c>
      <c r="B311" s="9" t="s">
        <v>9</v>
      </c>
      <c r="C311" s="9" t="s">
        <v>15</v>
      </c>
      <c r="D311" s="9" t="s">
        <v>30</v>
      </c>
      <c r="E311" s="7">
        <v>5</v>
      </c>
      <c r="F311" s="11">
        <v>1994.68</v>
      </c>
      <c r="G311" s="11">
        <v>9973.4</v>
      </c>
      <c r="H311" s="11">
        <v>1317.47</v>
      </c>
      <c r="I311" s="11" t="str">
        <f>TEXT(SalesData[[#This Row],[Date]],"dddd")</f>
        <v>Thursday</v>
      </c>
      <c r="J311" s="11" t="str">
        <f>TEXT(SalesData[[#This Row],[Date]],"mmm")</f>
        <v>Apr</v>
      </c>
      <c r="K311" s="20">
        <f>MONTH(SalesData[[#This Row],[Date]])</f>
        <v>4</v>
      </c>
    </row>
    <row r="312" spans="1:11" x14ac:dyDescent="0.3">
      <c r="A312" s="5">
        <v>45401</v>
      </c>
      <c r="B312" s="9" t="s">
        <v>12</v>
      </c>
      <c r="C312" s="9" t="s">
        <v>15</v>
      </c>
      <c r="D312" s="9" t="s">
        <v>24</v>
      </c>
      <c r="E312" s="7">
        <v>2</v>
      </c>
      <c r="F312" s="11">
        <v>1731.35</v>
      </c>
      <c r="G312" s="11">
        <v>3462.7</v>
      </c>
      <c r="H312" s="11">
        <v>651.07000000000005</v>
      </c>
      <c r="I312" s="11" t="str">
        <f>TEXT(SalesData[[#This Row],[Date]],"dddd")</f>
        <v>Friday</v>
      </c>
      <c r="J312" s="11" t="str">
        <f>TEXT(SalesData[[#This Row],[Date]],"mmm")</f>
        <v>Apr</v>
      </c>
      <c r="K312" s="20">
        <f>MONTH(SalesData[[#This Row],[Date]])</f>
        <v>4</v>
      </c>
    </row>
    <row r="313" spans="1:11" x14ac:dyDescent="0.3">
      <c r="A313" s="5">
        <v>45401</v>
      </c>
      <c r="B313" s="9" t="s">
        <v>8</v>
      </c>
      <c r="C313" s="9" t="s">
        <v>14</v>
      </c>
      <c r="D313" s="9" t="s">
        <v>20</v>
      </c>
      <c r="E313" s="7">
        <v>4</v>
      </c>
      <c r="F313" s="11">
        <v>604.98</v>
      </c>
      <c r="G313" s="11">
        <v>2419.92</v>
      </c>
      <c r="H313" s="11">
        <v>392.02</v>
      </c>
      <c r="I313" s="11" t="str">
        <f>TEXT(SalesData[[#This Row],[Date]],"dddd")</f>
        <v>Friday</v>
      </c>
      <c r="J313" s="11" t="str">
        <f>TEXT(SalesData[[#This Row],[Date]],"mmm")</f>
        <v>Apr</v>
      </c>
      <c r="K313" s="20">
        <f>MONTH(SalesData[[#This Row],[Date]])</f>
        <v>4</v>
      </c>
    </row>
    <row r="314" spans="1:11" x14ac:dyDescent="0.3">
      <c r="A314" s="5">
        <v>45401</v>
      </c>
      <c r="B314" s="9" t="s">
        <v>12</v>
      </c>
      <c r="C314" s="9" t="s">
        <v>17</v>
      </c>
      <c r="D314" s="9" t="s">
        <v>28</v>
      </c>
      <c r="E314" s="7">
        <v>3</v>
      </c>
      <c r="F314" s="11">
        <v>510.36</v>
      </c>
      <c r="G314" s="11">
        <v>1531.08</v>
      </c>
      <c r="H314" s="11">
        <v>279.5</v>
      </c>
      <c r="I314" s="11" t="str">
        <f>TEXT(SalesData[[#This Row],[Date]],"dddd")</f>
        <v>Friday</v>
      </c>
      <c r="J314" s="11" t="str">
        <f>TEXT(SalesData[[#This Row],[Date]],"mmm")</f>
        <v>Apr</v>
      </c>
      <c r="K314" s="20">
        <f>MONTH(SalesData[[#This Row],[Date]])</f>
        <v>4</v>
      </c>
    </row>
    <row r="315" spans="1:11" x14ac:dyDescent="0.3">
      <c r="A315" s="5">
        <v>45402</v>
      </c>
      <c r="B315" s="9" t="s">
        <v>10</v>
      </c>
      <c r="C315" s="9" t="s">
        <v>17</v>
      </c>
      <c r="D315" s="9" t="s">
        <v>27</v>
      </c>
      <c r="E315" s="7">
        <v>4</v>
      </c>
      <c r="F315" s="11">
        <v>2011.82</v>
      </c>
      <c r="G315" s="11">
        <v>8047.28</v>
      </c>
      <c r="H315" s="11">
        <v>1151.46</v>
      </c>
      <c r="I315" s="11" t="str">
        <f>TEXT(SalesData[[#This Row],[Date]],"dddd")</f>
        <v>Saturday</v>
      </c>
      <c r="J315" s="11" t="str">
        <f>TEXT(SalesData[[#This Row],[Date]],"mmm")</f>
        <v>Apr</v>
      </c>
      <c r="K315" s="20">
        <f>MONTH(SalesData[[#This Row],[Date]])</f>
        <v>4</v>
      </c>
    </row>
    <row r="316" spans="1:11" x14ac:dyDescent="0.3">
      <c r="A316" s="5">
        <v>45402</v>
      </c>
      <c r="B316" s="9" t="s">
        <v>13</v>
      </c>
      <c r="C316" s="9" t="s">
        <v>14</v>
      </c>
      <c r="D316" s="9" t="s">
        <v>21</v>
      </c>
      <c r="E316" s="7">
        <v>10</v>
      </c>
      <c r="F316" s="11">
        <v>964.44</v>
      </c>
      <c r="G316" s="11">
        <v>9644.4</v>
      </c>
      <c r="H316" s="11">
        <v>2033.07</v>
      </c>
      <c r="I316" s="11" t="str">
        <f>TEXT(SalesData[[#This Row],[Date]],"dddd")</f>
        <v>Saturday</v>
      </c>
      <c r="J316" s="11" t="str">
        <f>TEXT(SalesData[[#This Row],[Date]],"mmm")</f>
        <v>Apr</v>
      </c>
      <c r="K316" s="20">
        <f>MONTH(SalesData[[#This Row],[Date]])</f>
        <v>4</v>
      </c>
    </row>
    <row r="317" spans="1:11" x14ac:dyDescent="0.3">
      <c r="A317" s="5">
        <v>45402</v>
      </c>
      <c r="B317" s="9" t="s">
        <v>11</v>
      </c>
      <c r="C317" s="9" t="s">
        <v>16</v>
      </c>
      <c r="D317" s="9" t="s">
        <v>26</v>
      </c>
      <c r="E317" s="7">
        <v>3</v>
      </c>
      <c r="F317" s="11">
        <v>2367.85</v>
      </c>
      <c r="G317" s="11">
        <v>7103.55</v>
      </c>
      <c r="H317" s="11">
        <v>749.08</v>
      </c>
      <c r="I317" s="11" t="str">
        <f>TEXT(SalesData[[#This Row],[Date]],"dddd")</f>
        <v>Saturday</v>
      </c>
      <c r="J317" s="11" t="str">
        <f>TEXT(SalesData[[#This Row],[Date]],"mmm")</f>
        <v>Apr</v>
      </c>
      <c r="K317" s="20">
        <f>MONTH(SalesData[[#This Row],[Date]])</f>
        <v>4</v>
      </c>
    </row>
    <row r="318" spans="1:11" x14ac:dyDescent="0.3">
      <c r="A318" s="5">
        <v>45402</v>
      </c>
      <c r="B318" s="9" t="s">
        <v>9</v>
      </c>
      <c r="C318" s="9" t="s">
        <v>17</v>
      </c>
      <c r="D318" s="9" t="s">
        <v>28</v>
      </c>
      <c r="E318" s="7">
        <v>5</v>
      </c>
      <c r="F318" s="11">
        <v>2253.4899999999998</v>
      </c>
      <c r="G318" s="11">
        <v>11267.45</v>
      </c>
      <c r="H318" s="11">
        <v>1142.4100000000001</v>
      </c>
      <c r="I318" s="11" t="str">
        <f>TEXT(SalesData[[#This Row],[Date]],"dddd")</f>
        <v>Saturday</v>
      </c>
      <c r="J318" s="11" t="str">
        <f>TEXT(SalesData[[#This Row],[Date]],"mmm")</f>
        <v>Apr</v>
      </c>
      <c r="K318" s="20">
        <f>MONTH(SalesData[[#This Row],[Date]])</f>
        <v>4</v>
      </c>
    </row>
    <row r="319" spans="1:11" x14ac:dyDescent="0.3">
      <c r="A319" s="5">
        <v>45403</v>
      </c>
      <c r="B319" s="9" t="s">
        <v>9</v>
      </c>
      <c r="C319" s="9" t="s">
        <v>14</v>
      </c>
      <c r="D319" s="9" t="s">
        <v>18</v>
      </c>
      <c r="E319" s="7">
        <v>5</v>
      </c>
      <c r="F319" s="11">
        <v>1408.7</v>
      </c>
      <c r="G319" s="11">
        <v>7043.5</v>
      </c>
      <c r="H319" s="11">
        <v>1381.91</v>
      </c>
      <c r="I319" s="11" t="str">
        <f>TEXT(SalesData[[#This Row],[Date]],"dddd")</f>
        <v>Sunday</v>
      </c>
      <c r="J319" s="11" t="str">
        <f>TEXT(SalesData[[#This Row],[Date]],"mmm")</f>
        <v>Apr</v>
      </c>
      <c r="K319" s="20">
        <f>MONTH(SalesData[[#This Row],[Date]])</f>
        <v>4</v>
      </c>
    </row>
    <row r="320" spans="1:11" x14ac:dyDescent="0.3">
      <c r="A320" s="5">
        <v>45403</v>
      </c>
      <c r="B320" s="9" t="s">
        <v>13</v>
      </c>
      <c r="C320" s="9" t="s">
        <v>17</v>
      </c>
      <c r="D320" s="9" t="s">
        <v>28</v>
      </c>
      <c r="E320" s="7">
        <v>9</v>
      </c>
      <c r="F320" s="11">
        <v>1436.04</v>
      </c>
      <c r="G320" s="11">
        <v>12924.36</v>
      </c>
      <c r="H320" s="11">
        <v>1666.23</v>
      </c>
      <c r="I320" s="11" t="str">
        <f>TEXT(SalesData[[#This Row],[Date]],"dddd")</f>
        <v>Sunday</v>
      </c>
      <c r="J320" s="11" t="str">
        <f>TEXT(SalesData[[#This Row],[Date]],"mmm")</f>
        <v>Apr</v>
      </c>
      <c r="K320" s="20">
        <f>MONTH(SalesData[[#This Row],[Date]])</f>
        <v>4</v>
      </c>
    </row>
    <row r="321" spans="1:11" x14ac:dyDescent="0.3">
      <c r="A321" s="5">
        <v>45403</v>
      </c>
      <c r="B321" s="9" t="s">
        <v>13</v>
      </c>
      <c r="C321" s="9" t="s">
        <v>15</v>
      </c>
      <c r="D321" s="9" t="s">
        <v>24</v>
      </c>
      <c r="E321" s="7">
        <v>8</v>
      </c>
      <c r="F321" s="11">
        <v>1796.57</v>
      </c>
      <c r="G321" s="11">
        <v>14372.56</v>
      </c>
      <c r="H321" s="11">
        <v>2986.47</v>
      </c>
      <c r="I321" s="11" t="str">
        <f>TEXT(SalesData[[#This Row],[Date]],"dddd")</f>
        <v>Sunday</v>
      </c>
      <c r="J321" s="11" t="str">
        <f>TEXT(SalesData[[#This Row],[Date]],"mmm")</f>
        <v>Apr</v>
      </c>
      <c r="K321" s="20">
        <f>MONTH(SalesData[[#This Row],[Date]])</f>
        <v>4</v>
      </c>
    </row>
    <row r="322" spans="1:11" x14ac:dyDescent="0.3">
      <c r="A322" s="5">
        <v>45403</v>
      </c>
      <c r="B322" s="9" t="s">
        <v>9</v>
      </c>
      <c r="C322" s="9" t="s">
        <v>15</v>
      </c>
      <c r="D322" s="9" t="s">
        <v>23</v>
      </c>
      <c r="E322" s="7">
        <v>10</v>
      </c>
      <c r="F322" s="11">
        <v>1848.8</v>
      </c>
      <c r="G322" s="11">
        <v>18488</v>
      </c>
      <c r="H322" s="11">
        <v>2384.4699999999998</v>
      </c>
      <c r="I322" s="11" t="str">
        <f>TEXT(SalesData[[#This Row],[Date]],"dddd")</f>
        <v>Sunday</v>
      </c>
      <c r="J322" s="11" t="str">
        <f>TEXT(SalesData[[#This Row],[Date]],"mmm")</f>
        <v>Apr</v>
      </c>
      <c r="K322" s="20">
        <f>MONTH(SalesData[[#This Row],[Date]])</f>
        <v>4</v>
      </c>
    </row>
    <row r="323" spans="1:11" x14ac:dyDescent="0.3">
      <c r="A323" s="5">
        <v>45403</v>
      </c>
      <c r="B323" s="9" t="s">
        <v>13</v>
      </c>
      <c r="C323" s="9" t="s">
        <v>17</v>
      </c>
      <c r="D323" s="9" t="s">
        <v>27</v>
      </c>
      <c r="E323" s="7">
        <v>9</v>
      </c>
      <c r="F323" s="11">
        <v>1155.8499999999999</v>
      </c>
      <c r="G323" s="11">
        <v>10402.65</v>
      </c>
      <c r="H323" s="11">
        <v>1665.72</v>
      </c>
      <c r="I323" s="11" t="str">
        <f>TEXT(SalesData[[#This Row],[Date]],"dddd")</f>
        <v>Sunday</v>
      </c>
      <c r="J323" s="11" t="str">
        <f>TEXT(SalesData[[#This Row],[Date]],"mmm")</f>
        <v>Apr</v>
      </c>
      <c r="K323" s="20">
        <f>MONTH(SalesData[[#This Row],[Date]])</f>
        <v>4</v>
      </c>
    </row>
    <row r="324" spans="1:11" x14ac:dyDescent="0.3">
      <c r="A324" s="5">
        <v>45404</v>
      </c>
      <c r="B324" s="9" t="s">
        <v>11</v>
      </c>
      <c r="C324" s="9" t="s">
        <v>16</v>
      </c>
      <c r="D324" s="9" t="s">
        <v>26</v>
      </c>
      <c r="E324" s="7">
        <v>6</v>
      </c>
      <c r="F324" s="11">
        <v>2371.65</v>
      </c>
      <c r="G324" s="11">
        <v>14229.9</v>
      </c>
      <c r="H324" s="11">
        <v>1437.57</v>
      </c>
      <c r="I324" s="11" t="str">
        <f>TEXT(SalesData[[#This Row],[Date]],"dddd")</f>
        <v>Monday</v>
      </c>
      <c r="J324" s="11" t="str">
        <f>TEXT(SalesData[[#This Row],[Date]],"mmm")</f>
        <v>Apr</v>
      </c>
      <c r="K324" s="20">
        <f>MONTH(SalesData[[#This Row],[Date]])</f>
        <v>4</v>
      </c>
    </row>
    <row r="325" spans="1:11" x14ac:dyDescent="0.3">
      <c r="A325" s="5">
        <v>45404</v>
      </c>
      <c r="B325" s="9" t="s">
        <v>8</v>
      </c>
      <c r="C325" s="9" t="s">
        <v>16</v>
      </c>
      <c r="D325" s="9" t="s">
        <v>26</v>
      </c>
      <c r="E325" s="7">
        <v>5</v>
      </c>
      <c r="F325" s="11">
        <v>2408.0700000000002</v>
      </c>
      <c r="G325" s="11">
        <v>12040.35</v>
      </c>
      <c r="H325" s="11">
        <v>1749.37</v>
      </c>
      <c r="I325" s="11" t="str">
        <f>TEXT(SalesData[[#This Row],[Date]],"dddd")</f>
        <v>Monday</v>
      </c>
      <c r="J325" s="11" t="str">
        <f>TEXT(SalesData[[#This Row],[Date]],"mmm")</f>
        <v>Apr</v>
      </c>
      <c r="K325" s="20">
        <f>MONTH(SalesData[[#This Row],[Date]])</f>
        <v>4</v>
      </c>
    </row>
    <row r="326" spans="1:11" x14ac:dyDescent="0.3">
      <c r="A326" s="5">
        <v>45405</v>
      </c>
      <c r="B326" s="9" t="s">
        <v>13</v>
      </c>
      <c r="C326" s="9" t="s">
        <v>14</v>
      </c>
      <c r="D326" s="9" t="s">
        <v>18</v>
      </c>
      <c r="E326" s="7">
        <v>6</v>
      </c>
      <c r="F326" s="11">
        <v>1885.54</v>
      </c>
      <c r="G326" s="11">
        <v>11313.24</v>
      </c>
      <c r="H326" s="11">
        <v>1236.75</v>
      </c>
      <c r="I326" s="11" t="str">
        <f>TEXT(SalesData[[#This Row],[Date]],"dddd")</f>
        <v>Tuesday</v>
      </c>
      <c r="J326" s="11" t="str">
        <f>TEXT(SalesData[[#This Row],[Date]],"mmm")</f>
        <v>Apr</v>
      </c>
      <c r="K326" s="20">
        <f>MONTH(SalesData[[#This Row],[Date]])</f>
        <v>4</v>
      </c>
    </row>
    <row r="327" spans="1:11" x14ac:dyDescent="0.3">
      <c r="A327" s="5">
        <v>45405</v>
      </c>
      <c r="B327" s="9" t="s">
        <v>8</v>
      </c>
      <c r="C327" s="9" t="s">
        <v>17</v>
      </c>
      <c r="D327" s="9" t="s">
        <v>27</v>
      </c>
      <c r="E327" s="7">
        <v>3</v>
      </c>
      <c r="F327" s="11">
        <v>1310.83</v>
      </c>
      <c r="G327" s="11">
        <v>3932.49</v>
      </c>
      <c r="H327" s="11">
        <v>689.67</v>
      </c>
      <c r="I327" s="11" t="str">
        <f>TEXT(SalesData[[#This Row],[Date]],"dddd")</f>
        <v>Tuesday</v>
      </c>
      <c r="J327" s="11" t="str">
        <f>TEXT(SalesData[[#This Row],[Date]],"mmm")</f>
        <v>Apr</v>
      </c>
      <c r="K327" s="20">
        <f>MONTH(SalesData[[#This Row],[Date]])</f>
        <v>4</v>
      </c>
    </row>
    <row r="328" spans="1:11" x14ac:dyDescent="0.3">
      <c r="A328" s="5">
        <v>45405</v>
      </c>
      <c r="B328" s="9" t="s">
        <v>12</v>
      </c>
      <c r="C328" s="9" t="s">
        <v>15</v>
      </c>
      <c r="D328" s="9" t="s">
        <v>22</v>
      </c>
      <c r="E328" s="7">
        <v>5</v>
      </c>
      <c r="F328" s="11">
        <v>1235.0899999999999</v>
      </c>
      <c r="G328" s="11">
        <v>6175.45</v>
      </c>
      <c r="H328" s="11">
        <v>822.12</v>
      </c>
      <c r="I328" s="11" t="str">
        <f>TEXT(SalesData[[#This Row],[Date]],"dddd")</f>
        <v>Tuesday</v>
      </c>
      <c r="J328" s="11" t="str">
        <f>TEXT(SalesData[[#This Row],[Date]],"mmm")</f>
        <v>Apr</v>
      </c>
      <c r="K328" s="20">
        <f>MONTH(SalesData[[#This Row],[Date]])</f>
        <v>4</v>
      </c>
    </row>
    <row r="329" spans="1:11" x14ac:dyDescent="0.3">
      <c r="A329" s="5">
        <v>45405</v>
      </c>
      <c r="B329" s="9" t="s">
        <v>11</v>
      </c>
      <c r="C329" s="9" t="s">
        <v>17</v>
      </c>
      <c r="D329" s="9" t="s">
        <v>28</v>
      </c>
      <c r="E329" s="7">
        <v>8</v>
      </c>
      <c r="F329" s="11">
        <v>1995.47</v>
      </c>
      <c r="G329" s="11">
        <v>15963.76</v>
      </c>
      <c r="H329" s="11">
        <v>3046.86</v>
      </c>
      <c r="I329" s="11" t="str">
        <f>TEXT(SalesData[[#This Row],[Date]],"dddd")</f>
        <v>Tuesday</v>
      </c>
      <c r="J329" s="11" t="str">
        <f>TEXT(SalesData[[#This Row],[Date]],"mmm")</f>
        <v>Apr</v>
      </c>
      <c r="K329" s="20">
        <f>MONTH(SalesData[[#This Row],[Date]])</f>
        <v>4</v>
      </c>
    </row>
    <row r="330" spans="1:11" x14ac:dyDescent="0.3">
      <c r="A330" s="5">
        <v>45405</v>
      </c>
      <c r="B330" s="9" t="s">
        <v>13</v>
      </c>
      <c r="C330" s="9" t="s">
        <v>17</v>
      </c>
      <c r="D330" s="9" t="s">
        <v>28</v>
      </c>
      <c r="E330" s="7">
        <v>4</v>
      </c>
      <c r="F330" s="11">
        <v>1860.68</v>
      </c>
      <c r="G330" s="11">
        <v>7442.72</v>
      </c>
      <c r="H330" s="11">
        <v>1409.44</v>
      </c>
      <c r="I330" s="11" t="str">
        <f>TEXT(SalesData[[#This Row],[Date]],"dddd")</f>
        <v>Tuesday</v>
      </c>
      <c r="J330" s="11" t="str">
        <f>TEXT(SalesData[[#This Row],[Date]],"mmm")</f>
        <v>Apr</v>
      </c>
      <c r="K330" s="20">
        <f>MONTH(SalesData[[#This Row],[Date]])</f>
        <v>4</v>
      </c>
    </row>
    <row r="331" spans="1:11" x14ac:dyDescent="0.3">
      <c r="A331" s="5">
        <v>45406</v>
      </c>
      <c r="B331" s="9" t="s">
        <v>9</v>
      </c>
      <c r="C331" s="9" t="s">
        <v>17</v>
      </c>
      <c r="D331" s="9" t="s">
        <v>27</v>
      </c>
      <c r="E331" s="7">
        <v>2</v>
      </c>
      <c r="F331" s="11">
        <v>2334.4899999999998</v>
      </c>
      <c r="G331" s="11">
        <v>4668.9799999999996</v>
      </c>
      <c r="H331" s="11">
        <v>545.48</v>
      </c>
      <c r="I331" s="11" t="str">
        <f>TEXT(SalesData[[#This Row],[Date]],"dddd")</f>
        <v>Wednesday</v>
      </c>
      <c r="J331" s="11" t="str">
        <f>TEXT(SalesData[[#This Row],[Date]],"mmm")</f>
        <v>Apr</v>
      </c>
      <c r="K331" s="20">
        <f>MONTH(SalesData[[#This Row],[Date]])</f>
        <v>4</v>
      </c>
    </row>
    <row r="332" spans="1:11" x14ac:dyDescent="0.3">
      <c r="A332" s="5">
        <v>45406</v>
      </c>
      <c r="B332" s="9" t="s">
        <v>9</v>
      </c>
      <c r="C332" s="9" t="s">
        <v>16</v>
      </c>
      <c r="D332" s="9" t="s">
        <v>25</v>
      </c>
      <c r="E332" s="7">
        <v>9</v>
      </c>
      <c r="F332" s="11">
        <v>799.7</v>
      </c>
      <c r="G332" s="11">
        <v>7197.3</v>
      </c>
      <c r="H332" s="11">
        <v>1073.96</v>
      </c>
      <c r="I332" s="11" t="str">
        <f>TEXT(SalesData[[#This Row],[Date]],"dddd")</f>
        <v>Wednesday</v>
      </c>
      <c r="J332" s="11" t="str">
        <f>TEXT(SalesData[[#This Row],[Date]],"mmm")</f>
        <v>Apr</v>
      </c>
      <c r="K332" s="20">
        <f>MONTH(SalesData[[#This Row],[Date]])</f>
        <v>4</v>
      </c>
    </row>
    <row r="333" spans="1:11" x14ac:dyDescent="0.3">
      <c r="A333" s="5">
        <v>45406</v>
      </c>
      <c r="B333" s="9" t="s">
        <v>9</v>
      </c>
      <c r="C333" s="9" t="s">
        <v>17</v>
      </c>
      <c r="D333" s="9" t="s">
        <v>28</v>
      </c>
      <c r="E333" s="7">
        <v>4</v>
      </c>
      <c r="F333" s="11">
        <v>1933.84</v>
      </c>
      <c r="G333" s="11">
        <v>7735.36</v>
      </c>
      <c r="H333" s="11">
        <v>1340.73</v>
      </c>
      <c r="I333" s="11" t="str">
        <f>TEXT(SalesData[[#This Row],[Date]],"dddd")</f>
        <v>Wednesday</v>
      </c>
      <c r="J333" s="11" t="str">
        <f>TEXT(SalesData[[#This Row],[Date]],"mmm")</f>
        <v>Apr</v>
      </c>
      <c r="K333" s="20">
        <f>MONTH(SalesData[[#This Row],[Date]])</f>
        <v>4</v>
      </c>
    </row>
    <row r="334" spans="1:11" x14ac:dyDescent="0.3">
      <c r="A334" s="5">
        <v>45406</v>
      </c>
      <c r="B334" s="9" t="s">
        <v>9</v>
      </c>
      <c r="C334" s="9" t="s">
        <v>17</v>
      </c>
      <c r="D334" s="9" t="s">
        <v>28</v>
      </c>
      <c r="E334" s="7">
        <v>8</v>
      </c>
      <c r="F334" s="11">
        <v>763.89</v>
      </c>
      <c r="G334" s="11">
        <v>6111.12</v>
      </c>
      <c r="H334" s="11">
        <v>991.92</v>
      </c>
      <c r="I334" s="11" t="str">
        <f>TEXT(SalesData[[#This Row],[Date]],"dddd")</f>
        <v>Wednesday</v>
      </c>
      <c r="J334" s="11" t="str">
        <f>TEXT(SalesData[[#This Row],[Date]],"mmm")</f>
        <v>Apr</v>
      </c>
      <c r="K334" s="20">
        <f>MONTH(SalesData[[#This Row],[Date]])</f>
        <v>4</v>
      </c>
    </row>
    <row r="335" spans="1:11" x14ac:dyDescent="0.3">
      <c r="A335" s="5">
        <v>45406</v>
      </c>
      <c r="B335" s="9" t="s">
        <v>13</v>
      </c>
      <c r="C335" s="9" t="s">
        <v>14</v>
      </c>
      <c r="D335" s="9" t="s">
        <v>19</v>
      </c>
      <c r="E335" s="7">
        <v>5</v>
      </c>
      <c r="F335" s="11">
        <v>1946.56</v>
      </c>
      <c r="G335" s="11">
        <v>9732.7999999999993</v>
      </c>
      <c r="H335" s="11">
        <v>1551.33</v>
      </c>
      <c r="I335" s="11" t="str">
        <f>TEXT(SalesData[[#This Row],[Date]],"dddd")</f>
        <v>Wednesday</v>
      </c>
      <c r="J335" s="11" t="str">
        <f>TEXT(SalesData[[#This Row],[Date]],"mmm")</f>
        <v>Apr</v>
      </c>
      <c r="K335" s="20">
        <f>MONTH(SalesData[[#This Row],[Date]])</f>
        <v>4</v>
      </c>
    </row>
    <row r="336" spans="1:11" x14ac:dyDescent="0.3">
      <c r="A336" s="5">
        <v>45407</v>
      </c>
      <c r="B336" s="9" t="s">
        <v>13</v>
      </c>
      <c r="C336" s="9" t="s">
        <v>14</v>
      </c>
      <c r="D336" s="9" t="s">
        <v>21</v>
      </c>
      <c r="E336" s="7">
        <v>7</v>
      </c>
      <c r="F336" s="11">
        <v>1189.06</v>
      </c>
      <c r="G336" s="11">
        <v>8323.42</v>
      </c>
      <c r="H336" s="11">
        <v>911.95</v>
      </c>
      <c r="I336" s="11" t="str">
        <f>TEXT(SalesData[[#This Row],[Date]],"dddd")</f>
        <v>Thursday</v>
      </c>
      <c r="J336" s="11" t="str">
        <f>TEXT(SalesData[[#This Row],[Date]],"mmm")</f>
        <v>Apr</v>
      </c>
      <c r="K336" s="20">
        <f>MONTH(SalesData[[#This Row],[Date]])</f>
        <v>4</v>
      </c>
    </row>
    <row r="337" spans="1:11" x14ac:dyDescent="0.3">
      <c r="A337" s="5">
        <v>45407</v>
      </c>
      <c r="B337" s="9" t="s">
        <v>12</v>
      </c>
      <c r="C337" s="9" t="s">
        <v>14</v>
      </c>
      <c r="D337" s="9" t="s">
        <v>19</v>
      </c>
      <c r="E337" s="7">
        <v>1</v>
      </c>
      <c r="F337" s="11">
        <v>1074.18</v>
      </c>
      <c r="G337" s="11">
        <v>1074.18</v>
      </c>
      <c r="H337" s="11">
        <v>136.41999999999999</v>
      </c>
      <c r="I337" s="11" t="str">
        <f>TEXT(SalesData[[#This Row],[Date]],"dddd")</f>
        <v>Thursday</v>
      </c>
      <c r="J337" s="11" t="str">
        <f>TEXT(SalesData[[#This Row],[Date]],"mmm")</f>
        <v>Apr</v>
      </c>
      <c r="K337" s="20">
        <f>MONTH(SalesData[[#This Row],[Date]])</f>
        <v>4</v>
      </c>
    </row>
    <row r="338" spans="1:11" x14ac:dyDescent="0.3">
      <c r="A338" s="5">
        <v>45408</v>
      </c>
      <c r="B338" s="9" t="s">
        <v>11</v>
      </c>
      <c r="C338" s="9" t="s">
        <v>15</v>
      </c>
      <c r="D338" s="9" t="s">
        <v>30</v>
      </c>
      <c r="E338" s="7">
        <v>8</v>
      </c>
      <c r="F338" s="11">
        <v>2239.2399999999998</v>
      </c>
      <c r="G338" s="11">
        <v>17913.919999999998</v>
      </c>
      <c r="H338" s="11">
        <v>4227.96</v>
      </c>
      <c r="I338" s="11" t="str">
        <f>TEXT(SalesData[[#This Row],[Date]],"dddd")</f>
        <v>Friday</v>
      </c>
      <c r="J338" s="11" t="str">
        <f>TEXT(SalesData[[#This Row],[Date]],"mmm")</f>
        <v>Apr</v>
      </c>
      <c r="K338" s="20">
        <f>MONTH(SalesData[[#This Row],[Date]])</f>
        <v>4</v>
      </c>
    </row>
    <row r="339" spans="1:11" x14ac:dyDescent="0.3">
      <c r="A339" s="5">
        <v>45408</v>
      </c>
      <c r="B339" s="9" t="s">
        <v>11</v>
      </c>
      <c r="C339" s="9" t="s">
        <v>14</v>
      </c>
      <c r="D339" s="9" t="s">
        <v>20</v>
      </c>
      <c r="E339" s="7">
        <v>6</v>
      </c>
      <c r="F339" s="11">
        <v>737.27</v>
      </c>
      <c r="G339" s="11">
        <v>4423.62</v>
      </c>
      <c r="H339" s="11">
        <v>1101.1600000000001</v>
      </c>
      <c r="I339" s="11" t="str">
        <f>TEXT(SalesData[[#This Row],[Date]],"dddd")</f>
        <v>Friday</v>
      </c>
      <c r="J339" s="11" t="str">
        <f>TEXT(SalesData[[#This Row],[Date]],"mmm")</f>
        <v>Apr</v>
      </c>
      <c r="K339" s="20">
        <f>MONTH(SalesData[[#This Row],[Date]])</f>
        <v>4</v>
      </c>
    </row>
    <row r="340" spans="1:11" x14ac:dyDescent="0.3">
      <c r="A340" s="5">
        <v>45408</v>
      </c>
      <c r="B340" s="9" t="s">
        <v>10</v>
      </c>
      <c r="C340" s="9" t="s">
        <v>16</v>
      </c>
      <c r="D340" s="9" t="s">
        <v>25</v>
      </c>
      <c r="E340" s="7">
        <v>4</v>
      </c>
      <c r="F340" s="11">
        <v>2169.64</v>
      </c>
      <c r="G340" s="11">
        <v>8678.56</v>
      </c>
      <c r="H340" s="11">
        <v>1852.24</v>
      </c>
      <c r="I340" s="11" t="str">
        <f>TEXT(SalesData[[#This Row],[Date]],"dddd")</f>
        <v>Friday</v>
      </c>
      <c r="J340" s="11" t="str">
        <f>TEXT(SalesData[[#This Row],[Date]],"mmm")</f>
        <v>Apr</v>
      </c>
      <c r="K340" s="20">
        <f>MONTH(SalesData[[#This Row],[Date]])</f>
        <v>4</v>
      </c>
    </row>
    <row r="341" spans="1:11" x14ac:dyDescent="0.3">
      <c r="A341" s="5">
        <v>45408</v>
      </c>
      <c r="B341" s="9" t="s">
        <v>11</v>
      </c>
      <c r="C341" s="9" t="s">
        <v>17</v>
      </c>
      <c r="D341" s="9" t="s">
        <v>27</v>
      </c>
      <c r="E341" s="7">
        <v>9</v>
      </c>
      <c r="F341" s="11">
        <v>1258.55</v>
      </c>
      <c r="G341" s="11">
        <v>11326.95</v>
      </c>
      <c r="H341" s="11">
        <v>1522.9</v>
      </c>
      <c r="I341" s="11" t="str">
        <f>TEXT(SalesData[[#This Row],[Date]],"dddd")</f>
        <v>Friday</v>
      </c>
      <c r="J341" s="11" t="str">
        <f>TEXT(SalesData[[#This Row],[Date]],"mmm")</f>
        <v>Apr</v>
      </c>
      <c r="K341" s="20">
        <f>MONTH(SalesData[[#This Row],[Date]])</f>
        <v>4</v>
      </c>
    </row>
    <row r="342" spans="1:11" x14ac:dyDescent="0.3">
      <c r="A342" s="5">
        <v>45409</v>
      </c>
      <c r="B342" s="9" t="s">
        <v>13</v>
      </c>
      <c r="C342" s="9" t="s">
        <v>16</v>
      </c>
      <c r="D342" s="9" t="s">
        <v>26</v>
      </c>
      <c r="E342" s="7">
        <v>4</v>
      </c>
      <c r="F342" s="11">
        <v>2374.8200000000002</v>
      </c>
      <c r="G342" s="11">
        <v>9499.2800000000007</v>
      </c>
      <c r="H342" s="11">
        <v>1983.01</v>
      </c>
      <c r="I342" s="11" t="str">
        <f>TEXT(SalesData[[#This Row],[Date]],"dddd")</f>
        <v>Saturday</v>
      </c>
      <c r="J342" s="11" t="str">
        <f>TEXT(SalesData[[#This Row],[Date]],"mmm")</f>
        <v>Apr</v>
      </c>
      <c r="K342" s="20">
        <f>MONTH(SalesData[[#This Row],[Date]])</f>
        <v>4</v>
      </c>
    </row>
    <row r="343" spans="1:11" x14ac:dyDescent="0.3">
      <c r="A343" s="5">
        <v>45409</v>
      </c>
      <c r="B343" s="9" t="s">
        <v>13</v>
      </c>
      <c r="C343" s="9" t="s">
        <v>14</v>
      </c>
      <c r="D343" s="9" t="s">
        <v>19</v>
      </c>
      <c r="E343" s="7">
        <v>10</v>
      </c>
      <c r="F343" s="11">
        <v>2032.11</v>
      </c>
      <c r="G343" s="11">
        <v>20321.099999999999</v>
      </c>
      <c r="H343" s="11">
        <v>4725.95</v>
      </c>
      <c r="I343" s="11" t="str">
        <f>TEXT(SalesData[[#This Row],[Date]],"dddd")</f>
        <v>Saturday</v>
      </c>
      <c r="J343" s="11" t="str">
        <f>TEXT(SalesData[[#This Row],[Date]],"mmm")</f>
        <v>Apr</v>
      </c>
      <c r="K343" s="20">
        <f>MONTH(SalesData[[#This Row],[Date]])</f>
        <v>4</v>
      </c>
    </row>
    <row r="344" spans="1:11" x14ac:dyDescent="0.3">
      <c r="A344" s="5">
        <v>45409</v>
      </c>
      <c r="B344" s="9" t="s">
        <v>9</v>
      </c>
      <c r="C344" s="9" t="s">
        <v>16</v>
      </c>
      <c r="D344" s="9" t="s">
        <v>29</v>
      </c>
      <c r="E344" s="7">
        <v>2</v>
      </c>
      <c r="F344" s="11">
        <v>701.79</v>
      </c>
      <c r="G344" s="11">
        <v>1403.58</v>
      </c>
      <c r="H344" s="11">
        <v>147.43</v>
      </c>
      <c r="I344" s="11" t="str">
        <f>TEXT(SalesData[[#This Row],[Date]],"dddd")</f>
        <v>Saturday</v>
      </c>
      <c r="J344" s="11" t="str">
        <f>TEXT(SalesData[[#This Row],[Date]],"mmm")</f>
        <v>Apr</v>
      </c>
      <c r="K344" s="20">
        <f>MONTH(SalesData[[#This Row],[Date]])</f>
        <v>4</v>
      </c>
    </row>
    <row r="345" spans="1:11" x14ac:dyDescent="0.3">
      <c r="A345" s="5">
        <v>45410</v>
      </c>
      <c r="B345" s="9" t="s">
        <v>12</v>
      </c>
      <c r="C345" s="9" t="s">
        <v>16</v>
      </c>
      <c r="D345" s="9" t="s">
        <v>25</v>
      </c>
      <c r="E345" s="7">
        <v>1</v>
      </c>
      <c r="F345" s="11">
        <v>1304.53</v>
      </c>
      <c r="G345" s="11">
        <v>1304.53</v>
      </c>
      <c r="H345" s="11">
        <v>176.31</v>
      </c>
      <c r="I345" s="11" t="str">
        <f>TEXT(SalesData[[#This Row],[Date]],"dddd")</f>
        <v>Sunday</v>
      </c>
      <c r="J345" s="11" t="str">
        <f>TEXT(SalesData[[#This Row],[Date]],"mmm")</f>
        <v>Apr</v>
      </c>
      <c r="K345" s="20">
        <f>MONTH(SalesData[[#This Row],[Date]])</f>
        <v>4</v>
      </c>
    </row>
    <row r="346" spans="1:11" x14ac:dyDescent="0.3">
      <c r="A346" s="5">
        <v>45411</v>
      </c>
      <c r="B346" s="9" t="s">
        <v>9</v>
      </c>
      <c r="C346" s="9" t="s">
        <v>16</v>
      </c>
      <c r="D346" s="9" t="s">
        <v>25</v>
      </c>
      <c r="E346" s="7">
        <v>5</v>
      </c>
      <c r="F346" s="11">
        <v>968.32</v>
      </c>
      <c r="G346" s="11">
        <v>4841.6000000000004</v>
      </c>
      <c r="H346" s="11">
        <v>1149.68</v>
      </c>
      <c r="I346" s="11" t="str">
        <f>TEXT(SalesData[[#This Row],[Date]],"dddd")</f>
        <v>Monday</v>
      </c>
      <c r="J346" s="11" t="str">
        <f>TEXT(SalesData[[#This Row],[Date]],"mmm")</f>
        <v>Apr</v>
      </c>
      <c r="K346" s="20">
        <f>MONTH(SalesData[[#This Row],[Date]])</f>
        <v>4</v>
      </c>
    </row>
    <row r="347" spans="1:11" x14ac:dyDescent="0.3">
      <c r="A347" s="5">
        <v>45412</v>
      </c>
      <c r="B347" s="9" t="s">
        <v>9</v>
      </c>
      <c r="C347" s="9" t="s">
        <v>15</v>
      </c>
      <c r="D347" s="9" t="s">
        <v>24</v>
      </c>
      <c r="E347" s="7">
        <v>5</v>
      </c>
      <c r="F347" s="11">
        <v>2252.52</v>
      </c>
      <c r="G347" s="11">
        <v>11262.6</v>
      </c>
      <c r="H347" s="11">
        <v>2791.48</v>
      </c>
      <c r="I347" s="11" t="str">
        <f>TEXT(SalesData[[#This Row],[Date]],"dddd")</f>
        <v>Tuesday</v>
      </c>
      <c r="J347" s="11" t="str">
        <f>TEXT(SalesData[[#This Row],[Date]],"mmm")</f>
        <v>Apr</v>
      </c>
      <c r="K347" s="20">
        <f>MONTH(SalesData[[#This Row],[Date]])</f>
        <v>4</v>
      </c>
    </row>
    <row r="348" spans="1:11" x14ac:dyDescent="0.3">
      <c r="A348" s="5">
        <v>45412</v>
      </c>
      <c r="B348" s="9" t="s">
        <v>9</v>
      </c>
      <c r="C348" s="9" t="s">
        <v>16</v>
      </c>
      <c r="D348" s="9" t="s">
        <v>26</v>
      </c>
      <c r="E348" s="7">
        <v>5</v>
      </c>
      <c r="F348" s="11">
        <v>1050.31</v>
      </c>
      <c r="G348" s="11">
        <v>5251.55</v>
      </c>
      <c r="H348" s="11">
        <v>963.7</v>
      </c>
      <c r="I348" s="11" t="str">
        <f>TEXT(SalesData[[#This Row],[Date]],"dddd")</f>
        <v>Tuesday</v>
      </c>
      <c r="J348" s="11" t="str">
        <f>TEXT(SalesData[[#This Row],[Date]],"mmm")</f>
        <v>Apr</v>
      </c>
      <c r="K348" s="20">
        <f>MONTH(SalesData[[#This Row],[Date]])</f>
        <v>4</v>
      </c>
    </row>
    <row r="349" spans="1:11" x14ac:dyDescent="0.3">
      <c r="A349" s="5">
        <v>45412</v>
      </c>
      <c r="B349" s="9" t="s">
        <v>10</v>
      </c>
      <c r="C349" s="9" t="s">
        <v>16</v>
      </c>
      <c r="D349" s="9" t="s">
        <v>25</v>
      </c>
      <c r="E349" s="7">
        <v>7</v>
      </c>
      <c r="F349" s="11">
        <v>1611.7</v>
      </c>
      <c r="G349" s="11">
        <v>11281.9</v>
      </c>
      <c r="H349" s="11">
        <v>1207.53</v>
      </c>
      <c r="I349" s="11" t="str">
        <f>TEXT(SalesData[[#This Row],[Date]],"dddd")</f>
        <v>Tuesday</v>
      </c>
      <c r="J349" s="11" t="str">
        <f>TEXT(SalesData[[#This Row],[Date]],"mmm")</f>
        <v>Apr</v>
      </c>
      <c r="K349" s="20">
        <f>MONTH(SalesData[[#This Row],[Date]])</f>
        <v>4</v>
      </c>
    </row>
    <row r="350" spans="1:11" x14ac:dyDescent="0.3">
      <c r="A350" s="5">
        <v>45413</v>
      </c>
      <c r="B350" s="9" t="s">
        <v>9</v>
      </c>
      <c r="C350" s="9" t="s">
        <v>15</v>
      </c>
      <c r="D350" s="9" t="s">
        <v>30</v>
      </c>
      <c r="E350" s="7">
        <v>7</v>
      </c>
      <c r="F350" s="11">
        <v>798.44</v>
      </c>
      <c r="G350" s="11">
        <v>5589.08</v>
      </c>
      <c r="H350" s="11">
        <v>874.52</v>
      </c>
      <c r="I350" s="11" t="str">
        <f>TEXT(SalesData[[#This Row],[Date]],"dddd")</f>
        <v>Wednesday</v>
      </c>
      <c r="J350" s="11" t="str">
        <f>TEXT(SalesData[[#This Row],[Date]],"mmm")</f>
        <v>May</v>
      </c>
      <c r="K350" s="20">
        <f>MONTH(SalesData[[#This Row],[Date]])</f>
        <v>5</v>
      </c>
    </row>
    <row r="351" spans="1:11" x14ac:dyDescent="0.3">
      <c r="A351" s="5">
        <v>45413</v>
      </c>
      <c r="B351" s="9" t="s">
        <v>11</v>
      </c>
      <c r="C351" s="9" t="s">
        <v>17</v>
      </c>
      <c r="D351" s="9" t="s">
        <v>28</v>
      </c>
      <c r="E351" s="7">
        <v>4</v>
      </c>
      <c r="F351" s="11">
        <v>1101.47</v>
      </c>
      <c r="G351" s="11">
        <v>4405.88</v>
      </c>
      <c r="H351" s="11">
        <v>908.21</v>
      </c>
      <c r="I351" s="11" t="str">
        <f>TEXT(SalesData[[#This Row],[Date]],"dddd")</f>
        <v>Wednesday</v>
      </c>
      <c r="J351" s="11" t="str">
        <f>TEXT(SalesData[[#This Row],[Date]],"mmm")</f>
        <v>May</v>
      </c>
      <c r="K351" s="20">
        <f>MONTH(SalesData[[#This Row],[Date]])</f>
        <v>5</v>
      </c>
    </row>
    <row r="352" spans="1:11" x14ac:dyDescent="0.3">
      <c r="A352" s="5">
        <v>45413</v>
      </c>
      <c r="B352" s="9" t="s">
        <v>12</v>
      </c>
      <c r="C352" s="9" t="s">
        <v>14</v>
      </c>
      <c r="D352" s="9" t="s">
        <v>19</v>
      </c>
      <c r="E352" s="7">
        <v>7</v>
      </c>
      <c r="F352" s="11">
        <v>1614.57</v>
      </c>
      <c r="G352" s="11">
        <v>11301.99</v>
      </c>
      <c r="H352" s="11">
        <v>1357.53</v>
      </c>
      <c r="I352" s="11" t="str">
        <f>TEXT(SalesData[[#This Row],[Date]],"dddd")</f>
        <v>Wednesday</v>
      </c>
      <c r="J352" s="11" t="str">
        <f>TEXT(SalesData[[#This Row],[Date]],"mmm")</f>
        <v>May</v>
      </c>
      <c r="K352" s="20">
        <f>MONTH(SalesData[[#This Row],[Date]])</f>
        <v>5</v>
      </c>
    </row>
    <row r="353" spans="1:11" x14ac:dyDescent="0.3">
      <c r="A353" s="5">
        <v>45413</v>
      </c>
      <c r="B353" s="9" t="s">
        <v>10</v>
      </c>
      <c r="C353" s="9" t="s">
        <v>15</v>
      </c>
      <c r="D353" s="9" t="s">
        <v>24</v>
      </c>
      <c r="E353" s="7">
        <v>6</v>
      </c>
      <c r="F353" s="11">
        <v>1793.41</v>
      </c>
      <c r="G353" s="11">
        <v>10760.46</v>
      </c>
      <c r="H353" s="11">
        <v>2564.58</v>
      </c>
      <c r="I353" s="11" t="str">
        <f>TEXT(SalesData[[#This Row],[Date]],"dddd")</f>
        <v>Wednesday</v>
      </c>
      <c r="J353" s="11" t="str">
        <f>TEXT(SalesData[[#This Row],[Date]],"mmm")</f>
        <v>May</v>
      </c>
      <c r="K353" s="20">
        <f>MONTH(SalesData[[#This Row],[Date]])</f>
        <v>5</v>
      </c>
    </row>
    <row r="354" spans="1:11" x14ac:dyDescent="0.3">
      <c r="A354" s="5">
        <v>45414</v>
      </c>
      <c r="B354" s="9" t="s">
        <v>13</v>
      </c>
      <c r="C354" s="9" t="s">
        <v>16</v>
      </c>
      <c r="D354" s="9" t="s">
        <v>29</v>
      </c>
      <c r="E354" s="7">
        <v>5</v>
      </c>
      <c r="F354" s="11">
        <v>1254.3399999999999</v>
      </c>
      <c r="G354" s="11">
        <v>6271.7</v>
      </c>
      <c r="H354" s="11">
        <v>1196.3</v>
      </c>
      <c r="I354" s="11" t="str">
        <f>TEXT(SalesData[[#This Row],[Date]],"dddd")</f>
        <v>Thursday</v>
      </c>
      <c r="J354" s="11" t="str">
        <f>TEXT(SalesData[[#This Row],[Date]],"mmm")</f>
        <v>May</v>
      </c>
      <c r="K354" s="20">
        <f>MONTH(SalesData[[#This Row],[Date]])</f>
        <v>5</v>
      </c>
    </row>
    <row r="355" spans="1:11" x14ac:dyDescent="0.3">
      <c r="A355" s="5">
        <v>45415</v>
      </c>
      <c r="B355" s="9" t="s">
        <v>10</v>
      </c>
      <c r="C355" s="9" t="s">
        <v>16</v>
      </c>
      <c r="D355" s="9" t="s">
        <v>25</v>
      </c>
      <c r="E355" s="7">
        <v>9</v>
      </c>
      <c r="F355" s="11">
        <v>934.03</v>
      </c>
      <c r="G355" s="11">
        <v>8406.27</v>
      </c>
      <c r="H355" s="11">
        <v>1104.02</v>
      </c>
      <c r="I355" s="11" t="str">
        <f>TEXT(SalesData[[#This Row],[Date]],"dddd")</f>
        <v>Friday</v>
      </c>
      <c r="J355" s="11" t="str">
        <f>TEXT(SalesData[[#This Row],[Date]],"mmm")</f>
        <v>May</v>
      </c>
      <c r="K355" s="20">
        <f>MONTH(SalesData[[#This Row],[Date]])</f>
        <v>5</v>
      </c>
    </row>
    <row r="356" spans="1:11" x14ac:dyDescent="0.3">
      <c r="A356" s="5">
        <v>45416</v>
      </c>
      <c r="B356" s="9" t="s">
        <v>11</v>
      </c>
      <c r="C356" s="9" t="s">
        <v>14</v>
      </c>
      <c r="D356" s="9" t="s">
        <v>20</v>
      </c>
      <c r="E356" s="7">
        <v>4</v>
      </c>
      <c r="F356" s="11">
        <v>2424.16</v>
      </c>
      <c r="G356" s="11">
        <v>9696.64</v>
      </c>
      <c r="H356" s="11">
        <v>1140.3</v>
      </c>
      <c r="I356" s="11" t="str">
        <f>TEXT(SalesData[[#This Row],[Date]],"dddd")</f>
        <v>Saturday</v>
      </c>
      <c r="J356" s="11" t="str">
        <f>TEXT(SalesData[[#This Row],[Date]],"mmm")</f>
        <v>May</v>
      </c>
      <c r="K356" s="20">
        <f>MONTH(SalesData[[#This Row],[Date]])</f>
        <v>5</v>
      </c>
    </row>
    <row r="357" spans="1:11" x14ac:dyDescent="0.3">
      <c r="A357" s="5">
        <v>45416</v>
      </c>
      <c r="B357" s="9" t="s">
        <v>12</v>
      </c>
      <c r="C357" s="9" t="s">
        <v>16</v>
      </c>
      <c r="D357" s="9" t="s">
        <v>25</v>
      </c>
      <c r="E357" s="7">
        <v>10</v>
      </c>
      <c r="F357" s="11">
        <v>1907.54</v>
      </c>
      <c r="G357" s="11">
        <v>19075.400000000001</v>
      </c>
      <c r="H357" s="11">
        <v>3042.43</v>
      </c>
      <c r="I357" s="11" t="str">
        <f>TEXT(SalesData[[#This Row],[Date]],"dddd")</f>
        <v>Saturday</v>
      </c>
      <c r="J357" s="11" t="str">
        <f>TEXT(SalesData[[#This Row],[Date]],"mmm")</f>
        <v>May</v>
      </c>
      <c r="K357" s="20">
        <f>MONTH(SalesData[[#This Row],[Date]])</f>
        <v>5</v>
      </c>
    </row>
    <row r="358" spans="1:11" x14ac:dyDescent="0.3">
      <c r="A358" s="5">
        <v>45416</v>
      </c>
      <c r="B358" s="9" t="s">
        <v>10</v>
      </c>
      <c r="C358" s="9" t="s">
        <v>15</v>
      </c>
      <c r="D358" s="9" t="s">
        <v>23</v>
      </c>
      <c r="E358" s="7">
        <v>7</v>
      </c>
      <c r="F358" s="11">
        <v>1432.5</v>
      </c>
      <c r="G358" s="11">
        <v>10027.5</v>
      </c>
      <c r="H358" s="11">
        <v>1978.51</v>
      </c>
      <c r="I358" s="11" t="str">
        <f>TEXT(SalesData[[#This Row],[Date]],"dddd")</f>
        <v>Saturday</v>
      </c>
      <c r="J358" s="11" t="str">
        <f>TEXT(SalesData[[#This Row],[Date]],"mmm")</f>
        <v>May</v>
      </c>
      <c r="K358" s="20">
        <f>MONTH(SalesData[[#This Row],[Date]])</f>
        <v>5</v>
      </c>
    </row>
    <row r="359" spans="1:11" x14ac:dyDescent="0.3">
      <c r="A359" s="5">
        <v>45417</v>
      </c>
      <c r="B359" s="9" t="s">
        <v>11</v>
      </c>
      <c r="C359" s="9" t="s">
        <v>15</v>
      </c>
      <c r="D359" s="9" t="s">
        <v>30</v>
      </c>
      <c r="E359" s="7">
        <v>8</v>
      </c>
      <c r="F359" s="11">
        <v>697.22</v>
      </c>
      <c r="G359" s="11">
        <v>5577.76</v>
      </c>
      <c r="H359" s="11">
        <v>1378.81</v>
      </c>
      <c r="I359" s="11" t="str">
        <f>TEXT(SalesData[[#This Row],[Date]],"dddd")</f>
        <v>Sunday</v>
      </c>
      <c r="J359" s="11" t="str">
        <f>TEXT(SalesData[[#This Row],[Date]],"mmm")</f>
        <v>May</v>
      </c>
      <c r="K359" s="20">
        <f>MONTH(SalesData[[#This Row],[Date]])</f>
        <v>5</v>
      </c>
    </row>
    <row r="360" spans="1:11" x14ac:dyDescent="0.3">
      <c r="A360" s="5">
        <v>45417</v>
      </c>
      <c r="B360" s="9" t="s">
        <v>12</v>
      </c>
      <c r="C360" s="9" t="s">
        <v>15</v>
      </c>
      <c r="D360" s="9" t="s">
        <v>24</v>
      </c>
      <c r="E360" s="7">
        <v>6</v>
      </c>
      <c r="F360" s="11">
        <v>1125.8399999999999</v>
      </c>
      <c r="G360" s="11">
        <v>6755.04</v>
      </c>
      <c r="H360" s="11">
        <v>721.83</v>
      </c>
      <c r="I360" s="11" t="str">
        <f>TEXT(SalesData[[#This Row],[Date]],"dddd")</f>
        <v>Sunday</v>
      </c>
      <c r="J360" s="11" t="str">
        <f>TEXT(SalesData[[#This Row],[Date]],"mmm")</f>
        <v>May</v>
      </c>
      <c r="K360" s="20">
        <f>MONTH(SalesData[[#This Row],[Date]])</f>
        <v>5</v>
      </c>
    </row>
    <row r="361" spans="1:11" x14ac:dyDescent="0.3">
      <c r="A361" s="5">
        <v>45417</v>
      </c>
      <c r="B361" s="9" t="s">
        <v>8</v>
      </c>
      <c r="C361" s="9" t="s">
        <v>16</v>
      </c>
      <c r="D361" s="9" t="s">
        <v>29</v>
      </c>
      <c r="E361" s="7">
        <v>5</v>
      </c>
      <c r="F361" s="11">
        <v>1606.62</v>
      </c>
      <c r="G361" s="11">
        <v>8033.1</v>
      </c>
      <c r="H361" s="11">
        <v>1507.05</v>
      </c>
      <c r="I361" s="11" t="str">
        <f>TEXT(SalesData[[#This Row],[Date]],"dddd")</f>
        <v>Sunday</v>
      </c>
      <c r="J361" s="11" t="str">
        <f>TEXT(SalesData[[#This Row],[Date]],"mmm")</f>
        <v>May</v>
      </c>
      <c r="K361" s="20">
        <f>MONTH(SalesData[[#This Row],[Date]])</f>
        <v>5</v>
      </c>
    </row>
    <row r="362" spans="1:11" x14ac:dyDescent="0.3">
      <c r="A362" s="5">
        <v>45418</v>
      </c>
      <c r="B362" s="9" t="s">
        <v>12</v>
      </c>
      <c r="C362" s="9" t="s">
        <v>15</v>
      </c>
      <c r="D362" s="9" t="s">
        <v>24</v>
      </c>
      <c r="E362" s="7">
        <v>4</v>
      </c>
      <c r="F362" s="11">
        <v>1159.73</v>
      </c>
      <c r="G362" s="11">
        <v>4638.92</v>
      </c>
      <c r="H362" s="11">
        <v>728.2</v>
      </c>
      <c r="I362" s="11" t="str">
        <f>TEXT(SalesData[[#This Row],[Date]],"dddd")</f>
        <v>Monday</v>
      </c>
      <c r="J362" s="11" t="str">
        <f>TEXT(SalesData[[#This Row],[Date]],"mmm")</f>
        <v>May</v>
      </c>
      <c r="K362" s="20">
        <f>MONTH(SalesData[[#This Row],[Date]])</f>
        <v>5</v>
      </c>
    </row>
    <row r="363" spans="1:11" x14ac:dyDescent="0.3">
      <c r="A363" s="5">
        <v>45418</v>
      </c>
      <c r="B363" s="9" t="s">
        <v>8</v>
      </c>
      <c r="C363" s="9" t="s">
        <v>17</v>
      </c>
      <c r="D363" s="9" t="s">
        <v>27</v>
      </c>
      <c r="E363" s="7">
        <v>5</v>
      </c>
      <c r="F363" s="11">
        <v>2026.72</v>
      </c>
      <c r="G363" s="11">
        <v>10133.6</v>
      </c>
      <c r="H363" s="11">
        <v>1756.08</v>
      </c>
      <c r="I363" s="11" t="str">
        <f>TEXT(SalesData[[#This Row],[Date]],"dddd")</f>
        <v>Monday</v>
      </c>
      <c r="J363" s="11" t="str">
        <f>TEXT(SalesData[[#This Row],[Date]],"mmm")</f>
        <v>May</v>
      </c>
      <c r="K363" s="20">
        <f>MONTH(SalesData[[#This Row],[Date]])</f>
        <v>5</v>
      </c>
    </row>
    <row r="364" spans="1:11" x14ac:dyDescent="0.3">
      <c r="A364" s="5">
        <v>45418</v>
      </c>
      <c r="B364" s="9" t="s">
        <v>12</v>
      </c>
      <c r="C364" s="9" t="s">
        <v>17</v>
      </c>
      <c r="D364" s="9" t="s">
        <v>27</v>
      </c>
      <c r="E364" s="7">
        <v>3</v>
      </c>
      <c r="F364" s="11">
        <v>1965.54</v>
      </c>
      <c r="G364" s="11">
        <v>5896.62</v>
      </c>
      <c r="H364" s="11">
        <v>901.16</v>
      </c>
      <c r="I364" s="11" t="str">
        <f>TEXT(SalesData[[#This Row],[Date]],"dddd")</f>
        <v>Monday</v>
      </c>
      <c r="J364" s="11" t="str">
        <f>TEXT(SalesData[[#This Row],[Date]],"mmm")</f>
        <v>May</v>
      </c>
      <c r="K364" s="20">
        <f>MONTH(SalesData[[#This Row],[Date]])</f>
        <v>5</v>
      </c>
    </row>
    <row r="365" spans="1:11" x14ac:dyDescent="0.3">
      <c r="A365" s="5">
        <v>45418</v>
      </c>
      <c r="B365" s="9" t="s">
        <v>9</v>
      </c>
      <c r="C365" s="9" t="s">
        <v>17</v>
      </c>
      <c r="D365" s="9" t="s">
        <v>28</v>
      </c>
      <c r="E365" s="7">
        <v>9</v>
      </c>
      <c r="F365" s="11">
        <v>2480.65</v>
      </c>
      <c r="G365" s="11">
        <v>22325.85</v>
      </c>
      <c r="H365" s="11">
        <v>5438.25</v>
      </c>
      <c r="I365" s="11" t="str">
        <f>TEXT(SalesData[[#This Row],[Date]],"dddd")</f>
        <v>Monday</v>
      </c>
      <c r="J365" s="11" t="str">
        <f>TEXT(SalesData[[#This Row],[Date]],"mmm")</f>
        <v>May</v>
      </c>
      <c r="K365" s="20">
        <f>MONTH(SalesData[[#This Row],[Date]])</f>
        <v>5</v>
      </c>
    </row>
    <row r="366" spans="1:11" x14ac:dyDescent="0.3">
      <c r="A366" s="5">
        <v>45419</v>
      </c>
      <c r="B366" s="9" t="s">
        <v>12</v>
      </c>
      <c r="C366" s="9" t="s">
        <v>14</v>
      </c>
      <c r="D366" s="9" t="s">
        <v>21</v>
      </c>
      <c r="E366" s="7">
        <v>1</v>
      </c>
      <c r="F366" s="11">
        <v>1324.78</v>
      </c>
      <c r="G366" s="11">
        <v>1324.78</v>
      </c>
      <c r="H366" s="11">
        <v>299.91000000000003</v>
      </c>
      <c r="I366" s="11" t="str">
        <f>TEXT(SalesData[[#This Row],[Date]],"dddd")</f>
        <v>Tuesday</v>
      </c>
      <c r="J366" s="11" t="str">
        <f>TEXT(SalesData[[#This Row],[Date]],"mmm")</f>
        <v>May</v>
      </c>
      <c r="K366" s="20">
        <f>MONTH(SalesData[[#This Row],[Date]])</f>
        <v>5</v>
      </c>
    </row>
    <row r="367" spans="1:11" x14ac:dyDescent="0.3">
      <c r="A367" s="5">
        <v>45420</v>
      </c>
      <c r="B367" s="9" t="s">
        <v>9</v>
      </c>
      <c r="C367" s="9" t="s">
        <v>16</v>
      </c>
      <c r="D367" s="9" t="s">
        <v>29</v>
      </c>
      <c r="E367" s="7">
        <v>4</v>
      </c>
      <c r="F367" s="11">
        <v>1511.47</v>
      </c>
      <c r="G367" s="11">
        <v>6045.88</v>
      </c>
      <c r="H367" s="11">
        <v>943.04</v>
      </c>
      <c r="I367" s="11" t="str">
        <f>TEXT(SalesData[[#This Row],[Date]],"dddd")</f>
        <v>Wednesday</v>
      </c>
      <c r="J367" s="11" t="str">
        <f>TEXT(SalesData[[#This Row],[Date]],"mmm")</f>
        <v>May</v>
      </c>
      <c r="K367" s="20">
        <f>MONTH(SalesData[[#This Row],[Date]])</f>
        <v>5</v>
      </c>
    </row>
    <row r="368" spans="1:11" x14ac:dyDescent="0.3">
      <c r="A368" s="5">
        <v>45421</v>
      </c>
      <c r="B368" s="9" t="s">
        <v>13</v>
      </c>
      <c r="C368" s="9" t="s">
        <v>17</v>
      </c>
      <c r="D368" s="9" t="s">
        <v>27</v>
      </c>
      <c r="E368" s="7">
        <v>1</v>
      </c>
      <c r="F368" s="11">
        <v>513.22</v>
      </c>
      <c r="G368" s="11">
        <v>513.22</v>
      </c>
      <c r="H368" s="11">
        <v>93.79</v>
      </c>
      <c r="I368" s="11" t="str">
        <f>TEXT(SalesData[[#This Row],[Date]],"dddd")</f>
        <v>Thursday</v>
      </c>
      <c r="J368" s="11" t="str">
        <f>TEXT(SalesData[[#This Row],[Date]],"mmm")</f>
        <v>May</v>
      </c>
      <c r="K368" s="20">
        <f>MONTH(SalesData[[#This Row],[Date]])</f>
        <v>5</v>
      </c>
    </row>
    <row r="369" spans="1:11" x14ac:dyDescent="0.3">
      <c r="A369" s="5">
        <v>45421</v>
      </c>
      <c r="B369" s="9" t="s">
        <v>8</v>
      </c>
      <c r="C369" s="9" t="s">
        <v>14</v>
      </c>
      <c r="D369" s="9" t="s">
        <v>18</v>
      </c>
      <c r="E369" s="7">
        <v>9</v>
      </c>
      <c r="F369" s="11">
        <v>2454.96</v>
      </c>
      <c r="G369" s="11">
        <v>22094.639999999999</v>
      </c>
      <c r="H369" s="11">
        <v>2266.2800000000002</v>
      </c>
      <c r="I369" s="11" t="str">
        <f>TEXT(SalesData[[#This Row],[Date]],"dddd")</f>
        <v>Thursday</v>
      </c>
      <c r="J369" s="11" t="str">
        <f>TEXT(SalesData[[#This Row],[Date]],"mmm")</f>
        <v>May</v>
      </c>
      <c r="K369" s="20">
        <f>MONTH(SalesData[[#This Row],[Date]])</f>
        <v>5</v>
      </c>
    </row>
    <row r="370" spans="1:11" x14ac:dyDescent="0.3">
      <c r="A370" s="5">
        <v>45421</v>
      </c>
      <c r="B370" s="9" t="s">
        <v>12</v>
      </c>
      <c r="C370" s="9" t="s">
        <v>17</v>
      </c>
      <c r="D370" s="9" t="s">
        <v>28</v>
      </c>
      <c r="E370" s="7">
        <v>2</v>
      </c>
      <c r="F370" s="11">
        <v>2336.1</v>
      </c>
      <c r="G370" s="11">
        <v>4672.2</v>
      </c>
      <c r="H370" s="11">
        <v>834.73</v>
      </c>
      <c r="I370" s="11" t="str">
        <f>TEXT(SalesData[[#This Row],[Date]],"dddd")</f>
        <v>Thursday</v>
      </c>
      <c r="J370" s="11" t="str">
        <f>TEXT(SalesData[[#This Row],[Date]],"mmm")</f>
        <v>May</v>
      </c>
      <c r="K370" s="20">
        <f>MONTH(SalesData[[#This Row],[Date]])</f>
        <v>5</v>
      </c>
    </row>
    <row r="371" spans="1:11" x14ac:dyDescent="0.3">
      <c r="A371" s="5">
        <v>45421</v>
      </c>
      <c r="B371" s="9" t="s">
        <v>11</v>
      </c>
      <c r="C371" s="9" t="s">
        <v>16</v>
      </c>
      <c r="D371" s="9" t="s">
        <v>25</v>
      </c>
      <c r="E371" s="7">
        <v>9</v>
      </c>
      <c r="F371" s="11">
        <v>1004.84</v>
      </c>
      <c r="G371" s="11">
        <v>9043.56</v>
      </c>
      <c r="H371" s="11">
        <v>1385.17</v>
      </c>
      <c r="I371" s="11" t="str">
        <f>TEXT(SalesData[[#This Row],[Date]],"dddd")</f>
        <v>Thursday</v>
      </c>
      <c r="J371" s="11" t="str">
        <f>TEXT(SalesData[[#This Row],[Date]],"mmm")</f>
        <v>May</v>
      </c>
      <c r="K371" s="20">
        <f>MONTH(SalesData[[#This Row],[Date]])</f>
        <v>5</v>
      </c>
    </row>
    <row r="372" spans="1:11" x14ac:dyDescent="0.3">
      <c r="A372" s="5">
        <v>45421</v>
      </c>
      <c r="B372" s="9" t="s">
        <v>8</v>
      </c>
      <c r="C372" s="9" t="s">
        <v>14</v>
      </c>
      <c r="D372" s="9" t="s">
        <v>18</v>
      </c>
      <c r="E372" s="7">
        <v>7</v>
      </c>
      <c r="F372" s="11">
        <v>1418</v>
      </c>
      <c r="G372" s="11">
        <v>9926</v>
      </c>
      <c r="H372" s="11">
        <v>1354.71</v>
      </c>
      <c r="I372" s="11" t="str">
        <f>TEXT(SalesData[[#This Row],[Date]],"dddd")</f>
        <v>Thursday</v>
      </c>
      <c r="J372" s="11" t="str">
        <f>TEXT(SalesData[[#This Row],[Date]],"mmm")</f>
        <v>May</v>
      </c>
      <c r="K372" s="20">
        <f>MONTH(SalesData[[#This Row],[Date]])</f>
        <v>5</v>
      </c>
    </row>
    <row r="373" spans="1:11" x14ac:dyDescent="0.3">
      <c r="A373" s="5">
        <v>45422</v>
      </c>
      <c r="B373" s="9" t="s">
        <v>9</v>
      </c>
      <c r="C373" s="9" t="s">
        <v>15</v>
      </c>
      <c r="D373" s="9" t="s">
        <v>22</v>
      </c>
      <c r="E373" s="7">
        <v>1</v>
      </c>
      <c r="F373" s="11">
        <v>687</v>
      </c>
      <c r="G373" s="11">
        <v>687</v>
      </c>
      <c r="H373" s="11">
        <v>107.78</v>
      </c>
      <c r="I373" s="11" t="str">
        <f>TEXT(SalesData[[#This Row],[Date]],"dddd")</f>
        <v>Friday</v>
      </c>
      <c r="J373" s="11" t="str">
        <f>TEXT(SalesData[[#This Row],[Date]],"mmm")</f>
        <v>May</v>
      </c>
      <c r="K373" s="20">
        <f>MONTH(SalesData[[#This Row],[Date]])</f>
        <v>5</v>
      </c>
    </row>
    <row r="374" spans="1:11" x14ac:dyDescent="0.3">
      <c r="A374" s="5">
        <v>45422</v>
      </c>
      <c r="B374" s="9" t="s">
        <v>11</v>
      </c>
      <c r="C374" s="9" t="s">
        <v>17</v>
      </c>
      <c r="D374" s="9" t="s">
        <v>28</v>
      </c>
      <c r="E374" s="7">
        <v>1</v>
      </c>
      <c r="F374" s="11">
        <v>1905.69</v>
      </c>
      <c r="G374" s="11">
        <v>1905.69</v>
      </c>
      <c r="H374" s="11">
        <v>214.21</v>
      </c>
      <c r="I374" s="11" t="str">
        <f>TEXT(SalesData[[#This Row],[Date]],"dddd")</f>
        <v>Friday</v>
      </c>
      <c r="J374" s="11" t="str">
        <f>TEXT(SalesData[[#This Row],[Date]],"mmm")</f>
        <v>May</v>
      </c>
      <c r="K374" s="20">
        <f>MONTH(SalesData[[#This Row],[Date]])</f>
        <v>5</v>
      </c>
    </row>
    <row r="375" spans="1:11" x14ac:dyDescent="0.3">
      <c r="A375" s="5">
        <v>45423</v>
      </c>
      <c r="B375" s="9" t="s">
        <v>9</v>
      </c>
      <c r="C375" s="9" t="s">
        <v>14</v>
      </c>
      <c r="D375" s="9" t="s">
        <v>21</v>
      </c>
      <c r="E375" s="7">
        <v>4</v>
      </c>
      <c r="F375" s="11">
        <v>922.83</v>
      </c>
      <c r="G375" s="11">
        <v>3691.32</v>
      </c>
      <c r="H375" s="11">
        <v>849.81</v>
      </c>
      <c r="I375" s="11" t="str">
        <f>TEXT(SalesData[[#This Row],[Date]],"dddd")</f>
        <v>Saturday</v>
      </c>
      <c r="J375" s="11" t="str">
        <f>TEXT(SalesData[[#This Row],[Date]],"mmm")</f>
        <v>May</v>
      </c>
      <c r="K375" s="20">
        <f>MONTH(SalesData[[#This Row],[Date]])</f>
        <v>5</v>
      </c>
    </row>
    <row r="376" spans="1:11" x14ac:dyDescent="0.3">
      <c r="A376" s="5">
        <v>45423</v>
      </c>
      <c r="B376" s="9" t="s">
        <v>10</v>
      </c>
      <c r="C376" s="9" t="s">
        <v>17</v>
      </c>
      <c r="D376" s="9" t="s">
        <v>27</v>
      </c>
      <c r="E376" s="7">
        <v>1</v>
      </c>
      <c r="F376" s="11">
        <v>2348.3200000000002</v>
      </c>
      <c r="G376" s="11">
        <v>2348.3200000000002</v>
      </c>
      <c r="H376" s="11">
        <v>475.92</v>
      </c>
      <c r="I376" s="11" t="str">
        <f>TEXT(SalesData[[#This Row],[Date]],"dddd")</f>
        <v>Saturday</v>
      </c>
      <c r="J376" s="11" t="str">
        <f>TEXT(SalesData[[#This Row],[Date]],"mmm")</f>
        <v>May</v>
      </c>
      <c r="K376" s="20">
        <f>MONTH(SalesData[[#This Row],[Date]])</f>
        <v>5</v>
      </c>
    </row>
    <row r="377" spans="1:11" x14ac:dyDescent="0.3">
      <c r="A377" s="5">
        <v>45423</v>
      </c>
      <c r="B377" s="9" t="s">
        <v>12</v>
      </c>
      <c r="C377" s="9" t="s">
        <v>14</v>
      </c>
      <c r="D377" s="9" t="s">
        <v>20</v>
      </c>
      <c r="E377" s="7">
        <v>6</v>
      </c>
      <c r="F377" s="11">
        <v>531.32000000000005</v>
      </c>
      <c r="G377" s="11">
        <v>3187.92</v>
      </c>
      <c r="H377" s="11">
        <v>417.85</v>
      </c>
      <c r="I377" s="11" t="str">
        <f>TEXT(SalesData[[#This Row],[Date]],"dddd")</f>
        <v>Saturday</v>
      </c>
      <c r="J377" s="11" t="str">
        <f>TEXT(SalesData[[#This Row],[Date]],"mmm")</f>
        <v>May</v>
      </c>
      <c r="K377" s="20">
        <f>MONTH(SalesData[[#This Row],[Date]])</f>
        <v>5</v>
      </c>
    </row>
    <row r="378" spans="1:11" x14ac:dyDescent="0.3">
      <c r="A378" s="5">
        <v>45424</v>
      </c>
      <c r="B378" s="9" t="s">
        <v>11</v>
      </c>
      <c r="C378" s="9" t="s">
        <v>14</v>
      </c>
      <c r="D378" s="9" t="s">
        <v>18</v>
      </c>
      <c r="E378" s="7">
        <v>3</v>
      </c>
      <c r="F378" s="11">
        <v>1627.92</v>
      </c>
      <c r="G378" s="11">
        <v>4883.76</v>
      </c>
      <c r="H378" s="11">
        <v>903.52</v>
      </c>
      <c r="I378" s="11" t="str">
        <f>TEXT(SalesData[[#This Row],[Date]],"dddd")</f>
        <v>Sunday</v>
      </c>
      <c r="J378" s="11" t="str">
        <f>TEXT(SalesData[[#This Row],[Date]],"mmm")</f>
        <v>May</v>
      </c>
      <c r="K378" s="20">
        <f>MONTH(SalesData[[#This Row],[Date]])</f>
        <v>5</v>
      </c>
    </row>
    <row r="379" spans="1:11" x14ac:dyDescent="0.3">
      <c r="A379" s="5">
        <v>45424</v>
      </c>
      <c r="B379" s="9" t="s">
        <v>13</v>
      </c>
      <c r="C379" s="9" t="s">
        <v>15</v>
      </c>
      <c r="D379" s="9" t="s">
        <v>30</v>
      </c>
      <c r="E379" s="7">
        <v>3</v>
      </c>
      <c r="F379" s="11">
        <v>2081</v>
      </c>
      <c r="G379" s="11">
        <v>6243</v>
      </c>
      <c r="H379" s="11">
        <v>1269.8</v>
      </c>
      <c r="I379" s="11" t="str">
        <f>TEXT(SalesData[[#This Row],[Date]],"dddd")</f>
        <v>Sunday</v>
      </c>
      <c r="J379" s="11" t="str">
        <f>TEXT(SalesData[[#This Row],[Date]],"mmm")</f>
        <v>May</v>
      </c>
      <c r="K379" s="20">
        <f>MONTH(SalesData[[#This Row],[Date]])</f>
        <v>5</v>
      </c>
    </row>
    <row r="380" spans="1:11" x14ac:dyDescent="0.3">
      <c r="A380" s="5">
        <v>45424</v>
      </c>
      <c r="B380" s="9" t="s">
        <v>10</v>
      </c>
      <c r="C380" s="9" t="s">
        <v>15</v>
      </c>
      <c r="D380" s="9" t="s">
        <v>22</v>
      </c>
      <c r="E380" s="7">
        <v>2</v>
      </c>
      <c r="F380" s="11">
        <v>1374.18</v>
      </c>
      <c r="G380" s="11">
        <v>2748.36</v>
      </c>
      <c r="H380" s="11">
        <v>620.58000000000004</v>
      </c>
      <c r="I380" s="11" t="str">
        <f>TEXT(SalesData[[#This Row],[Date]],"dddd")</f>
        <v>Sunday</v>
      </c>
      <c r="J380" s="11" t="str">
        <f>TEXT(SalesData[[#This Row],[Date]],"mmm")</f>
        <v>May</v>
      </c>
      <c r="K380" s="20">
        <f>MONTH(SalesData[[#This Row],[Date]])</f>
        <v>5</v>
      </c>
    </row>
    <row r="381" spans="1:11" x14ac:dyDescent="0.3">
      <c r="A381" s="5">
        <v>45424</v>
      </c>
      <c r="B381" s="9" t="s">
        <v>11</v>
      </c>
      <c r="C381" s="9" t="s">
        <v>17</v>
      </c>
      <c r="D381" s="9" t="s">
        <v>27</v>
      </c>
      <c r="E381" s="7">
        <v>1</v>
      </c>
      <c r="F381" s="11">
        <v>1768.25</v>
      </c>
      <c r="G381" s="11">
        <v>1768.25</v>
      </c>
      <c r="H381" s="11">
        <v>384.65</v>
      </c>
      <c r="I381" s="11" t="str">
        <f>TEXT(SalesData[[#This Row],[Date]],"dddd")</f>
        <v>Sunday</v>
      </c>
      <c r="J381" s="11" t="str">
        <f>TEXT(SalesData[[#This Row],[Date]],"mmm")</f>
        <v>May</v>
      </c>
      <c r="K381" s="20">
        <f>MONTH(SalesData[[#This Row],[Date]])</f>
        <v>5</v>
      </c>
    </row>
    <row r="382" spans="1:11" x14ac:dyDescent="0.3">
      <c r="A382" s="5">
        <v>45425</v>
      </c>
      <c r="B382" s="9" t="s">
        <v>8</v>
      </c>
      <c r="C382" s="9" t="s">
        <v>16</v>
      </c>
      <c r="D382" s="9" t="s">
        <v>26</v>
      </c>
      <c r="E382" s="7">
        <v>9</v>
      </c>
      <c r="F382" s="11">
        <v>2382.29</v>
      </c>
      <c r="G382" s="11">
        <v>21440.61</v>
      </c>
      <c r="H382" s="11">
        <v>3532.92</v>
      </c>
      <c r="I382" s="11" t="str">
        <f>TEXT(SalesData[[#This Row],[Date]],"dddd")</f>
        <v>Monday</v>
      </c>
      <c r="J382" s="11" t="str">
        <f>TEXT(SalesData[[#This Row],[Date]],"mmm")</f>
        <v>May</v>
      </c>
      <c r="K382" s="20">
        <f>MONTH(SalesData[[#This Row],[Date]])</f>
        <v>5</v>
      </c>
    </row>
    <row r="383" spans="1:11" x14ac:dyDescent="0.3">
      <c r="A383" s="5">
        <v>45425</v>
      </c>
      <c r="B383" s="9" t="s">
        <v>13</v>
      </c>
      <c r="C383" s="9" t="s">
        <v>17</v>
      </c>
      <c r="D383" s="9" t="s">
        <v>28</v>
      </c>
      <c r="E383" s="7">
        <v>10</v>
      </c>
      <c r="F383" s="11">
        <v>1090.76</v>
      </c>
      <c r="G383" s="11">
        <v>10907.6</v>
      </c>
      <c r="H383" s="11">
        <v>1493.99</v>
      </c>
      <c r="I383" s="11" t="str">
        <f>TEXT(SalesData[[#This Row],[Date]],"dddd")</f>
        <v>Monday</v>
      </c>
      <c r="J383" s="11" t="str">
        <f>TEXT(SalesData[[#This Row],[Date]],"mmm")</f>
        <v>May</v>
      </c>
      <c r="K383" s="20">
        <f>MONTH(SalesData[[#This Row],[Date]])</f>
        <v>5</v>
      </c>
    </row>
    <row r="384" spans="1:11" x14ac:dyDescent="0.3">
      <c r="A384" s="5">
        <v>45425</v>
      </c>
      <c r="B384" s="9" t="s">
        <v>12</v>
      </c>
      <c r="C384" s="9" t="s">
        <v>14</v>
      </c>
      <c r="D384" s="9" t="s">
        <v>18</v>
      </c>
      <c r="E384" s="7">
        <v>3</v>
      </c>
      <c r="F384" s="11">
        <v>1260</v>
      </c>
      <c r="G384" s="11">
        <v>3780</v>
      </c>
      <c r="H384" s="11">
        <v>822.47</v>
      </c>
      <c r="I384" s="11" t="str">
        <f>TEXT(SalesData[[#This Row],[Date]],"dddd")</f>
        <v>Monday</v>
      </c>
      <c r="J384" s="11" t="str">
        <f>TEXT(SalesData[[#This Row],[Date]],"mmm")</f>
        <v>May</v>
      </c>
      <c r="K384" s="20">
        <f>MONTH(SalesData[[#This Row],[Date]])</f>
        <v>5</v>
      </c>
    </row>
    <row r="385" spans="1:11" x14ac:dyDescent="0.3">
      <c r="A385" s="5">
        <v>45425</v>
      </c>
      <c r="B385" s="9" t="s">
        <v>10</v>
      </c>
      <c r="C385" s="9" t="s">
        <v>17</v>
      </c>
      <c r="D385" s="9" t="s">
        <v>27</v>
      </c>
      <c r="E385" s="7">
        <v>6</v>
      </c>
      <c r="F385" s="11">
        <v>713.1</v>
      </c>
      <c r="G385" s="11">
        <v>4278.6000000000004</v>
      </c>
      <c r="H385" s="11">
        <v>431.19</v>
      </c>
      <c r="I385" s="11" t="str">
        <f>TEXT(SalesData[[#This Row],[Date]],"dddd")</f>
        <v>Monday</v>
      </c>
      <c r="J385" s="11" t="str">
        <f>TEXT(SalesData[[#This Row],[Date]],"mmm")</f>
        <v>May</v>
      </c>
      <c r="K385" s="20">
        <f>MONTH(SalesData[[#This Row],[Date]])</f>
        <v>5</v>
      </c>
    </row>
    <row r="386" spans="1:11" x14ac:dyDescent="0.3">
      <c r="A386" s="5">
        <v>45426</v>
      </c>
      <c r="B386" s="9" t="s">
        <v>11</v>
      </c>
      <c r="C386" s="9" t="s">
        <v>15</v>
      </c>
      <c r="D386" s="9" t="s">
        <v>23</v>
      </c>
      <c r="E386" s="7">
        <v>2</v>
      </c>
      <c r="F386" s="11">
        <v>765.01</v>
      </c>
      <c r="G386" s="11">
        <v>1530.02</v>
      </c>
      <c r="H386" s="11">
        <v>196.01</v>
      </c>
      <c r="I386" s="11" t="str">
        <f>TEXT(SalesData[[#This Row],[Date]],"dddd")</f>
        <v>Tuesday</v>
      </c>
      <c r="J386" s="11" t="str">
        <f>TEXT(SalesData[[#This Row],[Date]],"mmm")</f>
        <v>May</v>
      </c>
      <c r="K386" s="20">
        <f>MONTH(SalesData[[#This Row],[Date]])</f>
        <v>5</v>
      </c>
    </row>
    <row r="387" spans="1:11" x14ac:dyDescent="0.3">
      <c r="A387" s="5">
        <v>45426</v>
      </c>
      <c r="B387" s="9" t="s">
        <v>9</v>
      </c>
      <c r="C387" s="9" t="s">
        <v>17</v>
      </c>
      <c r="D387" s="9" t="s">
        <v>28</v>
      </c>
      <c r="E387" s="7">
        <v>1</v>
      </c>
      <c r="F387" s="11">
        <v>679.24</v>
      </c>
      <c r="G387" s="11">
        <v>679.24</v>
      </c>
      <c r="H387" s="11">
        <v>124.39</v>
      </c>
      <c r="I387" s="11" t="str">
        <f>TEXT(SalesData[[#This Row],[Date]],"dddd")</f>
        <v>Tuesday</v>
      </c>
      <c r="J387" s="11" t="str">
        <f>TEXT(SalesData[[#This Row],[Date]],"mmm")</f>
        <v>May</v>
      </c>
      <c r="K387" s="20">
        <f>MONTH(SalesData[[#This Row],[Date]])</f>
        <v>5</v>
      </c>
    </row>
    <row r="388" spans="1:11" x14ac:dyDescent="0.3">
      <c r="A388" s="5">
        <v>45426</v>
      </c>
      <c r="B388" s="9" t="s">
        <v>13</v>
      </c>
      <c r="C388" s="9" t="s">
        <v>15</v>
      </c>
      <c r="D388" s="9" t="s">
        <v>30</v>
      </c>
      <c r="E388" s="7">
        <v>1</v>
      </c>
      <c r="F388" s="11">
        <v>1083.69</v>
      </c>
      <c r="G388" s="11">
        <v>1083.69</v>
      </c>
      <c r="H388" s="11">
        <v>171.41</v>
      </c>
      <c r="I388" s="11" t="str">
        <f>TEXT(SalesData[[#This Row],[Date]],"dddd")</f>
        <v>Tuesday</v>
      </c>
      <c r="J388" s="11" t="str">
        <f>TEXT(SalesData[[#This Row],[Date]],"mmm")</f>
        <v>May</v>
      </c>
      <c r="K388" s="20">
        <f>MONTH(SalesData[[#This Row],[Date]])</f>
        <v>5</v>
      </c>
    </row>
    <row r="389" spans="1:11" x14ac:dyDescent="0.3">
      <c r="A389" s="5">
        <v>45426</v>
      </c>
      <c r="B389" s="9" t="s">
        <v>12</v>
      </c>
      <c r="C389" s="9" t="s">
        <v>16</v>
      </c>
      <c r="D389" s="9" t="s">
        <v>25</v>
      </c>
      <c r="E389" s="7">
        <v>9</v>
      </c>
      <c r="F389" s="11">
        <v>839.17</v>
      </c>
      <c r="G389" s="11">
        <v>7552.53</v>
      </c>
      <c r="H389" s="11">
        <v>1186.58</v>
      </c>
      <c r="I389" s="11" t="str">
        <f>TEXT(SalesData[[#This Row],[Date]],"dddd")</f>
        <v>Tuesday</v>
      </c>
      <c r="J389" s="11" t="str">
        <f>TEXT(SalesData[[#This Row],[Date]],"mmm")</f>
        <v>May</v>
      </c>
      <c r="K389" s="20">
        <f>MONTH(SalesData[[#This Row],[Date]])</f>
        <v>5</v>
      </c>
    </row>
    <row r="390" spans="1:11" x14ac:dyDescent="0.3">
      <c r="A390" s="5">
        <v>45427</v>
      </c>
      <c r="B390" s="9" t="s">
        <v>10</v>
      </c>
      <c r="C390" s="9" t="s">
        <v>15</v>
      </c>
      <c r="D390" s="9" t="s">
        <v>23</v>
      </c>
      <c r="E390" s="7">
        <v>8</v>
      </c>
      <c r="F390" s="11">
        <v>791.87</v>
      </c>
      <c r="G390" s="11">
        <v>6334.96</v>
      </c>
      <c r="H390" s="11">
        <v>792.38</v>
      </c>
      <c r="I390" s="11" t="str">
        <f>TEXT(SalesData[[#This Row],[Date]],"dddd")</f>
        <v>Wednesday</v>
      </c>
      <c r="J390" s="11" t="str">
        <f>TEXT(SalesData[[#This Row],[Date]],"mmm")</f>
        <v>May</v>
      </c>
      <c r="K390" s="20">
        <f>MONTH(SalesData[[#This Row],[Date]])</f>
        <v>5</v>
      </c>
    </row>
    <row r="391" spans="1:11" x14ac:dyDescent="0.3">
      <c r="A391" s="5">
        <v>45427</v>
      </c>
      <c r="B391" s="9" t="s">
        <v>12</v>
      </c>
      <c r="C391" s="9" t="s">
        <v>17</v>
      </c>
      <c r="D391" s="9" t="s">
        <v>27</v>
      </c>
      <c r="E391" s="7">
        <v>8</v>
      </c>
      <c r="F391" s="11">
        <v>2065.33</v>
      </c>
      <c r="G391" s="11">
        <v>16522.64</v>
      </c>
      <c r="H391" s="11">
        <v>2547.27</v>
      </c>
      <c r="I391" s="11" t="str">
        <f>TEXT(SalesData[[#This Row],[Date]],"dddd")</f>
        <v>Wednesday</v>
      </c>
      <c r="J391" s="11" t="str">
        <f>TEXT(SalesData[[#This Row],[Date]],"mmm")</f>
        <v>May</v>
      </c>
      <c r="K391" s="20">
        <f>MONTH(SalesData[[#This Row],[Date]])</f>
        <v>5</v>
      </c>
    </row>
    <row r="392" spans="1:11" x14ac:dyDescent="0.3">
      <c r="A392" s="5">
        <v>45427</v>
      </c>
      <c r="B392" s="9" t="s">
        <v>11</v>
      </c>
      <c r="C392" s="9" t="s">
        <v>17</v>
      </c>
      <c r="D392" s="9" t="s">
        <v>28</v>
      </c>
      <c r="E392" s="7">
        <v>8</v>
      </c>
      <c r="F392" s="11">
        <v>713.94</v>
      </c>
      <c r="G392" s="11">
        <v>5711.52</v>
      </c>
      <c r="H392" s="11">
        <v>832.16</v>
      </c>
      <c r="I392" s="11" t="str">
        <f>TEXT(SalesData[[#This Row],[Date]],"dddd")</f>
        <v>Wednesday</v>
      </c>
      <c r="J392" s="11" t="str">
        <f>TEXT(SalesData[[#This Row],[Date]],"mmm")</f>
        <v>May</v>
      </c>
      <c r="K392" s="20">
        <f>MONTH(SalesData[[#This Row],[Date]])</f>
        <v>5</v>
      </c>
    </row>
    <row r="393" spans="1:11" x14ac:dyDescent="0.3">
      <c r="A393" s="5">
        <v>45428</v>
      </c>
      <c r="B393" s="9" t="s">
        <v>8</v>
      </c>
      <c r="C393" s="9" t="s">
        <v>17</v>
      </c>
      <c r="D393" s="9" t="s">
        <v>27</v>
      </c>
      <c r="E393" s="7">
        <v>8</v>
      </c>
      <c r="F393" s="11">
        <v>1169.47</v>
      </c>
      <c r="G393" s="11">
        <v>9355.76</v>
      </c>
      <c r="H393" s="11">
        <v>2079.98</v>
      </c>
      <c r="I393" s="11" t="str">
        <f>TEXT(SalesData[[#This Row],[Date]],"dddd")</f>
        <v>Thursday</v>
      </c>
      <c r="J393" s="11" t="str">
        <f>TEXT(SalesData[[#This Row],[Date]],"mmm")</f>
        <v>May</v>
      </c>
      <c r="K393" s="20">
        <f>MONTH(SalesData[[#This Row],[Date]])</f>
        <v>5</v>
      </c>
    </row>
    <row r="394" spans="1:11" x14ac:dyDescent="0.3">
      <c r="A394" s="5">
        <v>45428</v>
      </c>
      <c r="B394" s="9" t="s">
        <v>11</v>
      </c>
      <c r="C394" s="9" t="s">
        <v>16</v>
      </c>
      <c r="D394" s="9" t="s">
        <v>26</v>
      </c>
      <c r="E394" s="7">
        <v>6</v>
      </c>
      <c r="F394" s="11">
        <v>1706.42</v>
      </c>
      <c r="G394" s="11">
        <v>10238.52</v>
      </c>
      <c r="H394" s="11">
        <v>2091.67</v>
      </c>
      <c r="I394" s="11" t="str">
        <f>TEXT(SalesData[[#This Row],[Date]],"dddd")</f>
        <v>Thursday</v>
      </c>
      <c r="J394" s="11" t="str">
        <f>TEXT(SalesData[[#This Row],[Date]],"mmm")</f>
        <v>May</v>
      </c>
      <c r="K394" s="20">
        <f>MONTH(SalesData[[#This Row],[Date]])</f>
        <v>5</v>
      </c>
    </row>
    <row r="395" spans="1:11" x14ac:dyDescent="0.3">
      <c r="A395" s="5">
        <v>45428</v>
      </c>
      <c r="B395" s="9" t="s">
        <v>8</v>
      </c>
      <c r="C395" s="9" t="s">
        <v>15</v>
      </c>
      <c r="D395" s="9" t="s">
        <v>24</v>
      </c>
      <c r="E395" s="7">
        <v>7</v>
      </c>
      <c r="F395" s="11">
        <v>2437.4499999999998</v>
      </c>
      <c r="G395" s="11">
        <v>17062.150000000001</v>
      </c>
      <c r="H395" s="11">
        <v>2452.12</v>
      </c>
      <c r="I395" s="11" t="str">
        <f>TEXT(SalesData[[#This Row],[Date]],"dddd")</f>
        <v>Thursday</v>
      </c>
      <c r="J395" s="11" t="str">
        <f>TEXT(SalesData[[#This Row],[Date]],"mmm")</f>
        <v>May</v>
      </c>
      <c r="K395" s="20">
        <f>MONTH(SalesData[[#This Row],[Date]])</f>
        <v>5</v>
      </c>
    </row>
    <row r="396" spans="1:11" x14ac:dyDescent="0.3">
      <c r="A396" s="5">
        <v>45429</v>
      </c>
      <c r="B396" s="9" t="s">
        <v>10</v>
      </c>
      <c r="C396" s="9" t="s">
        <v>16</v>
      </c>
      <c r="D396" s="9" t="s">
        <v>26</v>
      </c>
      <c r="E396" s="7">
        <v>7</v>
      </c>
      <c r="F396" s="11">
        <v>1060.5999999999999</v>
      </c>
      <c r="G396" s="11">
        <v>7424.2</v>
      </c>
      <c r="H396" s="11">
        <v>1617.58</v>
      </c>
      <c r="I396" s="11" t="str">
        <f>TEXT(SalesData[[#This Row],[Date]],"dddd")</f>
        <v>Friday</v>
      </c>
      <c r="J396" s="11" t="str">
        <f>TEXT(SalesData[[#This Row],[Date]],"mmm")</f>
        <v>May</v>
      </c>
      <c r="K396" s="20">
        <f>MONTH(SalesData[[#This Row],[Date]])</f>
        <v>5</v>
      </c>
    </row>
    <row r="397" spans="1:11" x14ac:dyDescent="0.3">
      <c r="A397" s="5">
        <v>45429</v>
      </c>
      <c r="B397" s="9" t="s">
        <v>9</v>
      </c>
      <c r="C397" s="9" t="s">
        <v>14</v>
      </c>
      <c r="D397" s="9" t="s">
        <v>20</v>
      </c>
      <c r="E397" s="7">
        <v>10</v>
      </c>
      <c r="F397" s="11">
        <v>2494.5300000000002</v>
      </c>
      <c r="G397" s="11">
        <v>24945.3</v>
      </c>
      <c r="H397" s="11">
        <v>3167.78</v>
      </c>
      <c r="I397" s="11" t="str">
        <f>TEXT(SalesData[[#This Row],[Date]],"dddd")</f>
        <v>Friday</v>
      </c>
      <c r="J397" s="11" t="str">
        <f>TEXT(SalesData[[#This Row],[Date]],"mmm")</f>
        <v>May</v>
      </c>
      <c r="K397" s="20">
        <f>MONTH(SalesData[[#This Row],[Date]])</f>
        <v>5</v>
      </c>
    </row>
    <row r="398" spans="1:11" x14ac:dyDescent="0.3">
      <c r="A398" s="5">
        <v>45429</v>
      </c>
      <c r="B398" s="9" t="s">
        <v>8</v>
      </c>
      <c r="C398" s="9" t="s">
        <v>14</v>
      </c>
      <c r="D398" s="9" t="s">
        <v>19</v>
      </c>
      <c r="E398" s="7">
        <v>4</v>
      </c>
      <c r="F398" s="11">
        <v>1376.91</v>
      </c>
      <c r="G398" s="11">
        <v>5507.64</v>
      </c>
      <c r="H398" s="11">
        <v>791.45</v>
      </c>
      <c r="I398" s="11" t="str">
        <f>TEXT(SalesData[[#This Row],[Date]],"dddd")</f>
        <v>Friday</v>
      </c>
      <c r="J398" s="11" t="str">
        <f>TEXT(SalesData[[#This Row],[Date]],"mmm")</f>
        <v>May</v>
      </c>
      <c r="K398" s="20">
        <f>MONTH(SalesData[[#This Row],[Date]])</f>
        <v>5</v>
      </c>
    </row>
    <row r="399" spans="1:11" x14ac:dyDescent="0.3">
      <c r="A399" s="5">
        <v>45429</v>
      </c>
      <c r="B399" s="9" t="s">
        <v>10</v>
      </c>
      <c r="C399" s="9" t="s">
        <v>14</v>
      </c>
      <c r="D399" s="9" t="s">
        <v>19</v>
      </c>
      <c r="E399" s="7">
        <v>8</v>
      </c>
      <c r="F399" s="11">
        <v>778.36</v>
      </c>
      <c r="G399" s="11">
        <v>6226.88</v>
      </c>
      <c r="H399" s="11">
        <v>905.54</v>
      </c>
      <c r="I399" s="11" t="str">
        <f>TEXT(SalesData[[#This Row],[Date]],"dddd")</f>
        <v>Friday</v>
      </c>
      <c r="J399" s="11" t="str">
        <f>TEXT(SalesData[[#This Row],[Date]],"mmm")</f>
        <v>May</v>
      </c>
      <c r="K399" s="20">
        <f>MONTH(SalesData[[#This Row],[Date]])</f>
        <v>5</v>
      </c>
    </row>
    <row r="400" spans="1:11" x14ac:dyDescent="0.3">
      <c r="A400" s="5">
        <v>45430</v>
      </c>
      <c r="B400" s="9" t="s">
        <v>9</v>
      </c>
      <c r="C400" s="9" t="s">
        <v>17</v>
      </c>
      <c r="D400" s="9" t="s">
        <v>27</v>
      </c>
      <c r="E400" s="7">
        <v>2</v>
      </c>
      <c r="F400" s="11">
        <v>1398.13</v>
      </c>
      <c r="G400" s="11">
        <v>2796.26</v>
      </c>
      <c r="H400" s="11">
        <v>530.41999999999996</v>
      </c>
      <c r="I400" s="11" t="str">
        <f>TEXT(SalesData[[#This Row],[Date]],"dddd")</f>
        <v>Saturday</v>
      </c>
      <c r="J400" s="11" t="str">
        <f>TEXT(SalesData[[#This Row],[Date]],"mmm")</f>
        <v>May</v>
      </c>
      <c r="K400" s="20">
        <f>MONTH(SalesData[[#This Row],[Date]])</f>
        <v>5</v>
      </c>
    </row>
    <row r="401" spans="1:11" x14ac:dyDescent="0.3">
      <c r="A401" s="5">
        <v>45430</v>
      </c>
      <c r="B401" s="9" t="s">
        <v>8</v>
      </c>
      <c r="C401" s="9" t="s">
        <v>17</v>
      </c>
      <c r="D401" s="9" t="s">
        <v>27</v>
      </c>
      <c r="E401" s="7">
        <v>9</v>
      </c>
      <c r="F401" s="11">
        <v>573.53</v>
      </c>
      <c r="G401" s="11">
        <v>5161.7700000000004</v>
      </c>
      <c r="H401" s="11">
        <v>1266</v>
      </c>
      <c r="I401" s="11" t="str">
        <f>TEXT(SalesData[[#This Row],[Date]],"dddd")</f>
        <v>Saturday</v>
      </c>
      <c r="J401" s="11" t="str">
        <f>TEXT(SalesData[[#This Row],[Date]],"mmm")</f>
        <v>May</v>
      </c>
      <c r="K401" s="20">
        <f>MONTH(SalesData[[#This Row],[Date]])</f>
        <v>5</v>
      </c>
    </row>
    <row r="402" spans="1:11" x14ac:dyDescent="0.3">
      <c r="A402" s="5">
        <v>45431</v>
      </c>
      <c r="B402" s="9" t="s">
        <v>8</v>
      </c>
      <c r="C402" s="9" t="s">
        <v>14</v>
      </c>
      <c r="D402" s="9" t="s">
        <v>21</v>
      </c>
      <c r="E402" s="7">
        <v>4</v>
      </c>
      <c r="F402" s="11">
        <v>1815.2</v>
      </c>
      <c r="G402" s="11">
        <v>7260.8</v>
      </c>
      <c r="H402" s="11">
        <v>1112.73</v>
      </c>
      <c r="I402" s="11" t="str">
        <f>TEXT(SalesData[[#This Row],[Date]],"dddd")</f>
        <v>Sunday</v>
      </c>
      <c r="J402" s="11" t="str">
        <f>TEXT(SalesData[[#This Row],[Date]],"mmm")</f>
        <v>May</v>
      </c>
      <c r="K402" s="20">
        <f>MONTH(SalesData[[#This Row],[Date]])</f>
        <v>5</v>
      </c>
    </row>
    <row r="403" spans="1:11" x14ac:dyDescent="0.3">
      <c r="A403" s="5">
        <v>45431</v>
      </c>
      <c r="B403" s="9" t="s">
        <v>13</v>
      </c>
      <c r="C403" s="9" t="s">
        <v>14</v>
      </c>
      <c r="D403" s="9" t="s">
        <v>19</v>
      </c>
      <c r="E403" s="7">
        <v>6</v>
      </c>
      <c r="F403" s="11">
        <v>2431.4299999999998</v>
      </c>
      <c r="G403" s="11">
        <v>14588.58</v>
      </c>
      <c r="H403" s="11">
        <v>2400.8200000000002</v>
      </c>
      <c r="I403" s="11" t="str">
        <f>TEXT(SalesData[[#This Row],[Date]],"dddd")</f>
        <v>Sunday</v>
      </c>
      <c r="J403" s="11" t="str">
        <f>TEXT(SalesData[[#This Row],[Date]],"mmm")</f>
        <v>May</v>
      </c>
      <c r="K403" s="20">
        <f>MONTH(SalesData[[#This Row],[Date]])</f>
        <v>5</v>
      </c>
    </row>
    <row r="404" spans="1:11" x14ac:dyDescent="0.3">
      <c r="A404" s="5">
        <v>45431</v>
      </c>
      <c r="B404" s="9" t="s">
        <v>9</v>
      </c>
      <c r="C404" s="9" t="s">
        <v>14</v>
      </c>
      <c r="D404" s="9" t="s">
        <v>18</v>
      </c>
      <c r="E404" s="7">
        <v>4</v>
      </c>
      <c r="F404" s="11">
        <v>1521.35</v>
      </c>
      <c r="G404" s="11">
        <v>6085.4</v>
      </c>
      <c r="H404" s="11">
        <v>1082.0999999999999</v>
      </c>
      <c r="I404" s="11" t="str">
        <f>TEXT(SalesData[[#This Row],[Date]],"dddd")</f>
        <v>Sunday</v>
      </c>
      <c r="J404" s="11" t="str">
        <f>TEXT(SalesData[[#This Row],[Date]],"mmm")</f>
        <v>May</v>
      </c>
      <c r="K404" s="20">
        <f>MONTH(SalesData[[#This Row],[Date]])</f>
        <v>5</v>
      </c>
    </row>
    <row r="405" spans="1:11" x14ac:dyDescent="0.3">
      <c r="A405" s="5">
        <v>45431</v>
      </c>
      <c r="B405" s="9" t="s">
        <v>9</v>
      </c>
      <c r="C405" s="9" t="s">
        <v>16</v>
      </c>
      <c r="D405" s="9" t="s">
        <v>26</v>
      </c>
      <c r="E405" s="7">
        <v>6</v>
      </c>
      <c r="F405" s="11">
        <v>1282.27</v>
      </c>
      <c r="G405" s="11">
        <v>7693.62</v>
      </c>
      <c r="H405" s="11">
        <v>1660.68</v>
      </c>
      <c r="I405" s="11" t="str">
        <f>TEXT(SalesData[[#This Row],[Date]],"dddd")</f>
        <v>Sunday</v>
      </c>
      <c r="J405" s="11" t="str">
        <f>TEXT(SalesData[[#This Row],[Date]],"mmm")</f>
        <v>May</v>
      </c>
      <c r="K405" s="20">
        <f>MONTH(SalesData[[#This Row],[Date]])</f>
        <v>5</v>
      </c>
    </row>
    <row r="406" spans="1:11" x14ac:dyDescent="0.3">
      <c r="A406" s="5">
        <v>45431</v>
      </c>
      <c r="B406" s="9" t="s">
        <v>13</v>
      </c>
      <c r="C406" s="9" t="s">
        <v>16</v>
      </c>
      <c r="D406" s="9" t="s">
        <v>26</v>
      </c>
      <c r="E406" s="7">
        <v>1</v>
      </c>
      <c r="F406" s="11">
        <v>1465.54</v>
      </c>
      <c r="G406" s="11">
        <v>1465.54</v>
      </c>
      <c r="H406" s="11">
        <v>211.5</v>
      </c>
      <c r="I406" s="11" t="str">
        <f>TEXT(SalesData[[#This Row],[Date]],"dddd")</f>
        <v>Sunday</v>
      </c>
      <c r="J406" s="11" t="str">
        <f>TEXT(SalesData[[#This Row],[Date]],"mmm")</f>
        <v>May</v>
      </c>
      <c r="K406" s="20">
        <f>MONTH(SalesData[[#This Row],[Date]])</f>
        <v>5</v>
      </c>
    </row>
    <row r="407" spans="1:11" x14ac:dyDescent="0.3">
      <c r="A407" s="5">
        <v>45432</v>
      </c>
      <c r="B407" s="9" t="s">
        <v>9</v>
      </c>
      <c r="C407" s="9" t="s">
        <v>16</v>
      </c>
      <c r="D407" s="9" t="s">
        <v>26</v>
      </c>
      <c r="E407" s="7">
        <v>5</v>
      </c>
      <c r="F407" s="11">
        <v>1186.1300000000001</v>
      </c>
      <c r="G407" s="11">
        <v>5930.65</v>
      </c>
      <c r="H407" s="11">
        <v>1290.75</v>
      </c>
      <c r="I407" s="11" t="str">
        <f>TEXT(SalesData[[#This Row],[Date]],"dddd")</f>
        <v>Monday</v>
      </c>
      <c r="J407" s="11" t="str">
        <f>TEXT(SalesData[[#This Row],[Date]],"mmm")</f>
        <v>May</v>
      </c>
      <c r="K407" s="20">
        <f>MONTH(SalesData[[#This Row],[Date]])</f>
        <v>5</v>
      </c>
    </row>
    <row r="408" spans="1:11" x14ac:dyDescent="0.3">
      <c r="A408" s="5">
        <v>45433</v>
      </c>
      <c r="B408" s="9" t="s">
        <v>10</v>
      </c>
      <c r="C408" s="9" t="s">
        <v>15</v>
      </c>
      <c r="D408" s="9" t="s">
        <v>30</v>
      </c>
      <c r="E408" s="7">
        <v>2</v>
      </c>
      <c r="F408" s="11">
        <v>1376.33</v>
      </c>
      <c r="G408" s="11">
        <v>2752.66</v>
      </c>
      <c r="H408" s="11">
        <v>562.96</v>
      </c>
      <c r="I408" s="11" t="str">
        <f>TEXT(SalesData[[#This Row],[Date]],"dddd")</f>
        <v>Tuesday</v>
      </c>
      <c r="J408" s="11" t="str">
        <f>TEXT(SalesData[[#This Row],[Date]],"mmm")</f>
        <v>May</v>
      </c>
      <c r="K408" s="20">
        <f>MONTH(SalesData[[#This Row],[Date]])</f>
        <v>5</v>
      </c>
    </row>
    <row r="409" spans="1:11" x14ac:dyDescent="0.3">
      <c r="A409" s="5">
        <v>45433</v>
      </c>
      <c r="B409" s="9" t="s">
        <v>10</v>
      </c>
      <c r="C409" s="9" t="s">
        <v>14</v>
      </c>
      <c r="D409" s="9" t="s">
        <v>18</v>
      </c>
      <c r="E409" s="7">
        <v>1</v>
      </c>
      <c r="F409" s="11">
        <v>2120.37</v>
      </c>
      <c r="G409" s="11">
        <v>2120.37</v>
      </c>
      <c r="H409" s="11">
        <v>248.64</v>
      </c>
      <c r="I409" s="11" t="str">
        <f>TEXT(SalesData[[#This Row],[Date]],"dddd")</f>
        <v>Tuesday</v>
      </c>
      <c r="J409" s="11" t="str">
        <f>TEXT(SalesData[[#This Row],[Date]],"mmm")</f>
        <v>May</v>
      </c>
      <c r="K409" s="20">
        <f>MONTH(SalesData[[#This Row],[Date]])</f>
        <v>5</v>
      </c>
    </row>
    <row r="410" spans="1:11" x14ac:dyDescent="0.3">
      <c r="A410" s="5">
        <v>45433</v>
      </c>
      <c r="B410" s="9" t="s">
        <v>10</v>
      </c>
      <c r="C410" s="9" t="s">
        <v>14</v>
      </c>
      <c r="D410" s="9" t="s">
        <v>20</v>
      </c>
      <c r="E410" s="7">
        <v>4</v>
      </c>
      <c r="F410" s="11">
        <v>1531.99</v>
      </c>
      <c r="G410" s="11">
        <v>6127.96</v>
      </c>
      <c r="H410" s="11">
        <v>1120.1099999999999</v>
      </c>
      <c r="I410" s="11" t="str">
        <f>TEXT(SalesData[[#This Row],[Date]],"dddd")</f>
        <v>Tuesday</v>
      </c>
      <c r="J410" s="11" t="str">
        <f>TEXT(SalesData[[#This Row],[Date]],"mmm")</f>
        <v>May</v>
      </c>
      <c r="K410" s="20">
        <f>MONTH(SalesData[[#This Row],[Date]])</f>
        <v>5</v>
      </c>
    </row>
    <row r="411" spans="1:11" x14ac:dyDescent="0.3">
      <c r="A411" s="5">
        <v>45433</v>
      </c>
      <c r="B411" s="9" t="s">
        <v>12</v>
      </c>
      <c r="C411" s="9" t="s">
        <v>17</v>
      </c>
      <c r="D411" s="9" t="s">
        <v>27</v>
      </c>
      <c r="E411" s="7">
        <v>4</v>
      </c>
      <c r="F411" s="11">
        <v>2095.5100000000002</v>
      </c>
      <c r="G411" s="11">
        <v>8382.0400000000009</v>
      </c>
      <c r="H411" s="11">
        <v>1630.01</v>
      </c>
      <c r="I411" s="11" t="str">
        <f>TEXT(SalesData[[#This Row],[Date]],"dddd")</f>
        <v>Tuesday</v>
      </c>
      <c r="J411" s="11" t="str">
        <f>TEXT(SalesData[[#This Row],[Date]],"mmm")</f>
        <v>May</v>
      </c>
      <c r="K411" s="20">
        <f>MONTH(SalesData[[#This Row],[Date]])</f>
        <v>5</v>
      </c>
    </row>
    <row r="412" spans="1:11" x14ac:dyDescent="0.3">
      <c r="A412" s="5">
        <v>45434</v>
      </c>
      <c r="B412" s="9" t="s">
        <v>11</v>
      </c>
      <c r="C412" s="9" t="s">
        <v>17</v>
      </c>
      <c r="D412" s="9" t="s">
        <v>28</v>
      </c>
      <c r="E412" s="7">
        <v>10</v>
      </c>
      <c r="F412" s="11">
        <v>2266.19</v>
      </c>
      <c r="G412" s="11">
        <v>22661.9</v>
      </c>
      <c r="H412" s="11">
        <v>3794.42</v>
      </c>
      <c r="I412" s="11" t="str">
        <f>TEXT(SalesData[[#This Row],[Date]],"dddd")</f>
        <v>Wednesday</v>
      </c>
      <c r="J412" s="11" t="str">
        <f>TEXT(SalesData[[#This Row],[Date]],"mmm")</f>
        <v>May</v>
      </c>
      <c r="K412" s="20">
        <f>MONTH(SalesData[[#This Row],[Date]])</f>
        <v>5</v>
      </c>
    </row>
    <row r="413" spans="1:11" x14ac:dyDescent="0.3">
      <c r="A413" s="5">
        <v>45434</v>
      </c>
      <c r="B413" s="9" t="s">
        <v>13</v>
      </c>
      <c r="C413" s="9" t="s">
        <v>17</v>
      </c>
      <c r="D413" s="9" t="s">
        <v>28</v>
      </c>
      <c r="E413" s="7">
        <v>4</v>
      </c>
      <c r="F413" s="11">
        <v>911.57</v>
      </c>
      <c r="G413" s="11">
        <v>3646.28</v>
      </c>
      <c r="H413" s="11">
        <v>776.11</v>
      </c>
      <c r="I413" s="11" t="str">
        <f>TEXT(SalesData[[#This Row],[Date]],"dddd")</f>
        <v>Wednesday</v>
      </c>
      <c r="J413" s="11" t="str">
        <f>TEXT(SalesData[[#This Row],[Date]],"mmm")</f>
        <v>May</v>
      </c>
      <c r="K413" s="20">
        <f>MONTH(SalesData[[#This Row],[Date]])</f>
        <v>5</v>
      </c>
    </row>
    <row r="414" spans="1:11" x14ac:dyDescent="0.3">
      <c r="A414" s="5">
        <v>45434</v>
      </c>
      <c r="B414" s="9" t="s">
        <v>10</v>
      </c>
      <c r="C414" s="9" t="s">
        <v>14</v>
      </c>
      <c r="D414" s="9" t="s">
        <v>20</v>
      </c>
      <c r="E414" s="7">
        <v>6</v>
      </c>
      <c r="F414" s="11">
        <v>1151.97</v>
      </c>
      <c r="G414" s="11">
        <v>6911.82</v>
      </c>
      <c r="H414" s="11">
        <v>1165.56</v>
      </c>
      <c r="I414" s="11" t="str">
        <f>TEXT(SalesData[[#This Row],[Date]],"dddd")</f>
        <v>Wednesday</v>
      </c>
      <c r="J414" s="11" t="str">
        <f>TEXT(SalesData[[#This Row],[Date]],"mmm")</f>
        <v>May</v>
      </c>
      <c r="K414" s="20">
        <f>MONTH(SalesData[[#This Row],[Date]])</f>
        <v>5</v>
      </c>
    </row>
    <row r="415" spans="1:11" x14ac:dyDescent="0.3">
      <c r="A415" s="5">
        <v>45434</v>
      </c>
      <c r="B415" s="9" t="s">
        <v>13</v>
      </c>
      <c r="C415" s="9" t="s">
        <v>17</v>
      </c>
      <c r="D415" s="9" t="s">
        <v>27</v>
      </c>
      <c r="E415" s="7">
        <v>10</v>
      </c>
      <c r="F415" s="11">
        <v>1277.28</v>
      </c>
      <c r="G415" s="11">
        <v>12772.8</v>
      </c>
      <c r="H415" s="11">
        <v>2029.36</v>
      </c>
      <c r="I415" s="11" t="str">
        <f>TEXT(SalesData[[#This Row],[Date]],"dddd")</f>
        <v>Wednesday</v>
      </c>
      <c r="J415" s="11" t="str">
        <f>TEXT(SalesData[[#This Row],[Date]],"mmm")</f>
        <v>May</v>
      </c>
      <c r="K415" s="20">
        <f>MONTH(SalesData[[#This Row],[Date]])</f>
        <v>5</v>
      </c>
    </row>
    <row r="416" spans="1:11" x14ac:dyDescent="0.3">
      <c r="A416" s="5">
        <v>45435</v>
      </c>
      <c r="B416" s="9" t="s">
        <v>10</v>
      </c>
      <c r="C416" s="9" t="s">
        <v>15</v>
      </c>
      <c r="D416" s="9" t="s">
        <v>30</v>
      </c>
      <c r="E416" s="7">
        <v>10</v>
      </c>
      <c r="F416" s="11">
        <v>845.06</v>
      </c>
      <c r="G416" s="11">
        <v>8450.6</v>
      </c>
      <c r="H416" s="11">
        <v>1698.89</v>
      </c>
      <c r="I416" s="11" t="str">
        <f>TEXT(SalesData[[#This Row],[Date]],"dddd")</f>
        <v>Thursday</v>
      </c>
      <c r="J416" s="11" t="str">
        <f>TEXT(SalesData[[#This Row],[Date]],"mmm")</f>
        <v>May</v>
      </c>
      <c r="K416" s="20">
        <f>MONTH(SalesData[[#This Row],[Date]])</f>
        <v>5</v>
      </c>
    </row>
    <row r="417" spans="1:11" x14ac:dyDescent="0.3">
      <c r="A417" s="5">
        <v>45435</v>
      </c>
      <c r="B417" s="9" t="s">
        <v>12</v>
      </c>
      <c r="C417" s="9" t="s">
        <v>14</v>
      </c>
      <c r="D417" s="9" t="s">
        <v>20</v>
      </c>
      <c r="E417" s="7">
        <v>6</v>
      </c>
      <c r="F417" s="11">
        <v>735.72</v>
      </c>
      <c r="G417" s="11">
        <v>4414.32</v>
      </c>
      <c r="H417" s="11">
        <v>643.64</v>
      </c>
      <c r="I417" s="11" t="str">
        <f>TEXT(SalesData[[#This Row],[Date]],"dddd")</f>
        <v>Thursday</v>
      </c>
      <c r="J417" s="11" t="str">
        <f>TEXT(SalesData[[#This Row],[Date]],"mmm")</f>
        <v>May</v>
      </c>
      <c r="K417" s="20">
        <f>MONTH(SalesData[[#This Row],[Date]])</f>
        <v>5</v>
      </c>
    </row>
    <row r="418" spans="1:11" x14ac:dyDescent="0.3">
      <c r="A418" s="5">
        <v>45435</v>
      </c>
      <c r="B418" s="9" t="s">
        <v>9</v>
      </c>
      <c r="C418" s="9" t="s">
        <v>15</v>
      </c>
      <c r="D418" s="9" t="s">
        <v>24</v>
      </c>
      <c r="E418" s="7">
        <v>9</v>
      </c>
      <c r="F418" s="11">
        <v>1276.93</v>
      </c>
      <c r="G418" s="11">
        <v>11492.37</v>
      </c>
      <c r="H418" s="11">
        <v>2177.39</v>
      </c>
      <c r="I418" s="11" t="str">
        <f>TEXT(SalesData[[#This Row],[Date]],"dddd")</f>
        <v>Thursday</v>
      </c>
      <c r="J418" s="11" t="str">
        <f>TEXT(SalesData[[#This Row],[Date]],"mmm")</f>
        <v>May</v>
      </c>
      <c r="K418" s="20">
        <f>MONTH(SalesData[[#This Row],[Date]])</f>
        <v>5</v>
      </c>
    </row>
    <row r="419" spans="1:11" x14ac:dyDescent="0.3">
      <c r="A419" s="5">
        <v>45436</v>
      </c>
      <c r="B419" s="9" t="s">
        <v>8</v>
      </c>
      <c r="C419" s="9" t="s">
        <v>17</v>
      </c>
      <c r="D419" s="9" t="s">
        <v>28</v>
      </c>
      <c r="E419" s="7">
        <v>8</v>
      </c>
      <c r="F419" s="11">
        <v>1771</v>
      </c>
      <c r="G419" s="11">
        <v>14168</v>
      </c>
      <c r="H419" s="11">
        <v>2890.48</v>
      </c>
      <c r="I419" s="11" t="str">
        <f>TEXT(SalesData[[#This Row],[Date]],"dddd")</f>
        <v>Friday</v>
      </c>
      <c r="J419" s="11" t="str">
        <f>TEXT(SalesData[[#This Row],[Date]],"mmm")</f>
        <v>May</v>
      </c>
      <c r="K419" s="20">
        <f>MONTH(SalesData[[#This Row],[Date]])</f>
        <v>5</v>
      </c>
    </row>
    <row r="420" spans="1:11" x14ac:dyDescent="0.3">
      <c r="A420" s="5">
        <v>45436</v>
      </c>
      <c r="B420" s="9" t="s">
        <v>10</v>
      </c>
      <c r="C420" s="9" t="s">
        <v>16</v>
      </c>
      <c r="D420" s="9" t="s">
        <v>25</v>
      </c>
      <c r="E420" s="7">
        <v>3</v>
      </c>
      <c r="F420" s="11">
        <v>1479.28</v>
      </c>
      <c r="G420" s="11">
        <v>4437.84</v>
      </c>
      <c r="H420" s="11">
        <v>537.17999999999995</v>
      </c>
      <c r="I420" s="11" t="str">
        <f>TEXT(SalesData[[#This Row],[Date]],"dddd")</f>
        <v>Friday</v>
      </c>
      <c r="J420" s="11" t="str">
        <f>TEXT(SalesData[[#This Row],[Date]],"mmm")</f>
        <v>May</v>
      </c>
      <c r="K420" s="20">
        <f>MONTH(SalesData[[#This Row],[Date]])</f>
        <v>5</v>
      </c>
    </row>
    <row r="421" spans="1:11" x14ac:dyDescent="0.3">
      <c r="A421" s="5">
        <v>45436</v>
      </c>
      <c r="B421" s="9" t="s">
        <v>12</v>
      </c>
      <c r="C421" s="9" t="s">
        <v>17</v>
      </c>
      <c r="D421" s="9" t="s">
        <v>28</v>
      </c>
      <c r="E421" s="7">
        <v>6</v>
      </c>
      <c r="F421" s="11">
        <v>2403.6799999999998</v>
      </c>
      <c r="G421" s="11">
        <v>14422.08</v>
      </c>
      <c r="H421" s="11">
        <v>2490.5700000000002</v>
      </c>
      <c r="I421" s="11" t="str">
        <f>TEXT(SalesData[[#This Row],[Date]],"dddd")</f>
        <v>Friday</v>
      </c>
      <c r="J421" s="11" t="str">
        <f>TEXT(SalesData[[#This Row],[Date]],"mmm")</f>
        <v>May</v>
      </c>
      <c r="K421" s="20">
        <f>MONTH(SalesData[[#This Row],[Date]])</f>
        <v>5</v>
      </c>
    </row>
    <row r="422" spans="1:11" x14ac:dyDescent="0.3">
      <c r="A422" s="5">
        <v>45436</v>
      </c>
      <c r="B422" s="9" t="s">
        <v>11</v>
      </c>
      <c r="C422" s="9" t="s">
        <v>17</v>
      </c>
      <c r="D422" s="9" t="s">
        <v>27</v>
      </c>
      <c r="E422" s="7">
        <v>7</v>
      </c>
      <c r="F422" s="11">
        <v>1869.39</v>
      </c>
      <c r="G422" s="11">
        <v>13085.73</v>
      </c>
      <c r="H422" s="11">
        <v>2124.4</v>
      </c>
      <c r="I422" s="11" t="str">
        <f>TEXT(SalesData[[#This Row],[Date]],"dddd")</f>
        <v>Friday</v>
      </c>
      <c r="J422" s="11" t="str">
        <f>TEXT(SalesData[[#This Row],[Date]],"mmm")</f>
        <v>May</v>
      </c>
      <c r="K422" s="20">
        <f>MONTH(SalesData[[#This Row],[Date]])</f>
        <v>5</v>
      </c>
    </row>
    <row r="423" spans="1:11" x14ac:dyDescent="0.3">
      <c r="A423" s="5">
        <v>45437</v>
      </c>
      <c r="B423" s="9" t="s">
        <v>10</v>
      </c>
      <c r="C423" s="9" t="s">
        <v>16</v>
      </c>
      <c r="D423" s="9" t="s">
        <v>29</v>
      </c>
      <c r="E423" s="7">
        <v>10</v>
      </c>
      <c r="F423" s="11">
        <v>561.72</v>
      </c>
      <c r="G423" s="11">
        <v>5617.2</v>
      </c>
      <c r="H423" s="11">
        <v>1202.97</v>
      </c>
      <c r="I423" s="11" t="str">
        <f>TEXT(SalesData[[#This Row],[Date]],"dddd")</f>
        <v>Saturday</v>
      </c>
      <c r="J423" s="11" t="str">
        <f>TEXT(SalesData[[#This Row],[Date]],"mmm")</f>
        <v>May</v>
      </c>
      <c r="K423" s="20">
        <f>MONTH(SalesData[[#This Row],[Date]])</f>
        <v>5</v>
      </c>
    </row>
    <row r="424" spans="1:11" x14ac:dyDescent="0.3">
      <c r="A424" s="5">
        <v>45437</v>
      </c>
      <c r="B424" s="9" t="s">
        <v>11</v>
      </c>
      <c r="C424" s="9" t="s">
        <v>14</v>
      </c>
      <c r="D424" s="9" t="s">
        <v>18</v>
      </c>
      <c r="E424" s="7">
        <v>4</v>
      </c>
      <c r="F424" s="11">
        <v>1575.22</v>
      </c>
      <c r="G424" s="11">
        <v>6300.88</v>
      </c>
      <c r="H424" s="11">
        <v>789.07</v>
      </c>
      <c r="I424" s="11" t="str">
        <f>TEXT(SalesData[[#This Row],[Date]],"dddd")</f>
        <v>Saturday</v>
      </c>
      <c r="J424" s="11" t="str">
        <f>TEXT(SalesData[[#This Row],[Date]],"mmm")</f>
        <v>May</v>
      </c>
      <c r="K424" s="20">
        <f>MONTH(SalesData[[#This Row],[Date]])</f>
        <v>5</v>
      </c>
    </row>
    <row r="425" spans="1:11" x14ac:dyDescent="0.3">
      <c r="A425" s="5">
        <v>45437</v>
      </c>
      <c r="B425" s="9" t="s">
        <v>10</v>
      </c>
      <c r="C425" s="9" t="s">
        <v>17</v>
      </c>
      <c r="D425" s="9" t="s">
        <v>28</v>
      </c>
      <c r="E425" s="7">
        <v>10</v>
      </c>
      <c r="F425" s="11">
        <v>728.41</v>
      </c>
      <c r="G425" s="11">
        <v>7284.1</v>
      </c>
      <c r="H425" s="11">
        <v>1575.31</v>
      </c>
      <c r="I425" s="11" t="str">
        <f>TEXT(SalesData[[#This Row],[Date]],"dddd")</f>
        <v>Saturday</v>
      </c>
      <c r="J425" s="11" t="str">
        <f>TEXT(SalesData[[#This Row],[Date]],"mmm")</f>
        <v>May</v>
      </c>
      <c r="K425" s="20">
        <f>MONTH(SalesData[[#This Row],[Date]])</f>
        <v>5</v>
      </c>
    </row>
    <row r="426" spans="1:11" x14ac:dyDescent="0.3">
      <c r="A426" s="5">
        <v>45437</v>
      </c>
      <c r="B426" s="9" t="s">
        <v>8</v>
      </c>
      <c r="C426" s="9" t="s">
        <v>14</v>
      </c>
      <c r="D426" s="9" t="s">
        <v>19</v>
      </c>
      <c r="E426" s="7">
        <v>9</v>
      </c>
      <c r="F426" s="11">
        <v>937.08</v>
      </c>
      <c r="G426" s="11">
        <v>8433.7199999999993</v>
      </c>
      <c r="H426" s="11">
        <v>1381.22</v>
      </c>
      <c r="I426" s="11" t="str">
        <f>TEXT(SalesData[[#This Row],[Date]],"dddd")</f>
        <v>Saturday</v>
      </c>
      <c r="J426" s="11" t="str">
        <f>TEXT(SalesData[[#This Row],[Date]],"mmm")</f>
        <v>May</v>
      </c>
      <c r="K426" s="20">
        <f>MONTH(SalesData[[#This Row],[Date]])</f>
        <v>5</v>
      </c>
    </row>
    <row r="427" spans="1:11" x14ac:dyDescent="0.3">
      <c r="A427" s="5">
        <v>45438</v>
      </c>
      <c r="B427" s="9" t="s">
        <v>13</v>
      </c>
      <c r="C427" s="9" t="s">
        <v>15</v>
      </c>
      <c r="D427" s="9" t="s">
        <v>22</v>
      </c>
      <c r="E427" s="7">
        <v>8</v>
      </c>
      <c r="F427" s="11">
        <v>1025.6300000000001</v>
      </c>
      <c r="G427" s="11">
        <v>8205.0400000000009</v>
      </c>
      <c r="H427" s="11">
        <v>1881.66</v>
      </c>
      <c r="I427" s="11" t="str">
        <f>TEXT(SalesData[[#This Row],[Date]],"dddd")</f>
        <v>Sunday</v>
      </c>
      <c r="J427" s="11" t="str">
        <f>TEXT(SalesData[[#This Row],[Date]],"mmm")</f>
        <v>May</v>
      </c>
      <c r="K427" s="20">
        <f>MONTH(SalesData[[#This Row],[Date]])</f>
        <v>5</v>
      </c>
    </row>
    <row r="428" spans="1:11" x14ac:dyDescent="0.3">
      <c r="A428" s="5">
        <v>45438</v>
      </c>
      <c r="B428" s="9" t="s">
        <v>8</v>
      </c>
      <c r="C428" s="9" t="s">
        <v>17</v>
      </c>
      <c r="D428" s="9" t="s">
        <v>28</v>
      </c>
      <c r="E428" s="7">
        <v>4</v>
      </c>
      <c r="F428" s="11">
        <v>919.76</v>
      </c>
      <c r="G428" s="11">
        <v>3679.04</v>
      </c>
      <c r="H428" s="11">
        <v>774.96</v>
      </c>
      <c r="I428" s="11" t="str">
        <f>TEXT(SalesData[[#This Row],[Date]],"dddd")</f>
        <v>Sunday</v>
      </c>
      <c r="J428" s="11" t="str">
        <f>TEXT(SalesData[[#This Row],[Date]],"mmm")</f>
        <v>May</v>
      </c>
      <c r="K428" s="20">
        <f>MONTH(SalesData[[#This Row],[Date]])</f>
        <v>5</v>
      </c>
    </row>
    <row r="429" spans="1:11" x14ac:dyDescent="0.3">
      <c r="A429" s="5">
        <v>45439</v>
      </c>
      <c r="B429" s="9" t="s">
        <v>12</v>
      </c>
      <c r="C429" s="9" t="s">
        <v>17</v>
      </c>
      <c r="D429" s="9" t="s">
        <v>28</v>
      </c>
      <c r="E429" s="7">
        <v>10</v>
      </c>
      <c r="F429" s="11">
        <v>778.47</v>
      </c>
      <c r="G429" s="11">
        <v>7784.7</v>
      </c>
      <c r="H429" s="11">
        <v>1019.74</v>
      </c>
      <c r="I429" s="11" t="str">
        <f>TEXT(SalesData[[#This Row],[Date]],"dddd")</f>
        <v>Monday</v>
      </c>
      <c r="J429" s="11" t="str">
        <f>TEXT(SalesData[[#This Row],[Date]],"mmm")</f>
        <v>May</v>
      </c>
      <c r="K429" s="20">
        <f>MONTH(SalesData[[#This Row],[Date]])</f>
        <v>5</v>
      </c>
    </row>
    <row r="430" spans="1:11" x14ac:dyDescent="0.3">
      <c r="A430" s="5">
        <v>45439</v>
      </c>
      <c r="B430" s="9" t="s">
        <v>10</v>
      </c>
      <c r="C430" s="9" t="s">
        <v>14</v>
      </c>
      <c r="D430" s="9" t="s">
        <v>18</v>
      </c>
      <c r="E430" s="7">
        <v>9</v>
      </c>
      <c r="F430" s="11">
        <v>1062.17</v>
      </c>
      <c r="G430" s="11">
        <v>9559.5300000000007</v>
      </c>
      <c r="H430" s="11">
        <v>1728.51</v>
      </c>
      <c r="I430" s="11" t="str">
        <f>TEXT(SalesData[[#This Row],[Date]],"dddd")</f>
        <v>Monday</v>
      </c>
      <c r="J430" s="11" t="str">
        <f>TEXT(SalesData[[#This Row],[Date]],"mmm")</f>
        <v>May</v>
      </c>
      <c r="K430" s="20">
        <f>MONTH(SalesData[[#This Row],[Date]])</f>
        <v>5</v>
      </c>
    </row>
    <row r="431" spans="1:11" x14ac:dyDescent="0.3">
      <c r="A431" s="5">
        <v>45439</v>
      </c>
      <c r="B431" s="9" t="s">
        <v>8</v>
      </c>
      <c r="C431" s="9" t="s">
        <v>15</v>
      </c>
      <c r="D431" s="9" t="s">
        <v>23</v>
      </c>
      <c r="E431" s="7">
        <v>10</v>
      </c>
      <c r="F431" s="11">
        <v>1034.69</v>
      </c>
      <c r="G431" s="11">
        <v>10346.9</v>
      </c>
      <c r="H431" s="11">
        <v>2366.36</v>
      </c>
      <c r="I431" s="11" t="str">
        <f>TEXT(SalesData[[#This Row],[Date]],"dddd")</f>
        <v>Monday</v>
      </c>
      <c r="J431" s="11" t="str">
        <f>TEXT(SalesData[[#This Row],[Date]],"mmm")</f>
        <v>May</v>
      </c>
      <c r="K431" s="20">
        <f>MONTH(SalesData[[#This Row],[Date]])</f>
        <v>5</v>
      </c>
    </row>
    <row r="432" spans="1:11" x14ac:dyDescent="0.3">
      <c r="A432" s="5">
        <v>45440</v>
      </c>
      <c r="B432" s="9" t="s">
        <v>12</v>
      </c>
      <c r="C432" s="9" t="s">
        <v>16</v>
      </c>
      <c r="D432" s="9" t="s">
        <v>26</v>
      </c>
      <c r="E432" s="7">
        <v>1</v>
      </c>
      <c r="F432" s="11">
        <v>2484.9699999999998</v>
      </c>
      <c r="G432" s="11">
        <v>2484.9699999999998</v>
      </c>
      <c r="H432" s="11">
        <v>571.69000000000005</v>
      </c>
      <c r="I432" s="11" t="str">
        <f>TEXT(SalesData[[#This Row],[Date]],"dddd")</f>
        <v>Tuesday</v>
      </c>
      <c r="J432" s="11" t="str">
        <f>TEXT(SalesData[[#This Row],[Date]],"mmm")</f>
        <v>May</v>
      </c>
      <c r="K432" s="20">
        <f>MONTH(SalesData[[#This Row],[Date]])</f>
        <v>5</v>
      </c>
    </row>
    <row r="433" spans="1:11" x14ac:dyDescent="0.3">
      <c r="A433" s="5">
        <v>45441</v>
      </c>
      <c r="B433" s="9" t="s">
        <v>8</v>
      </c>
      <c r="C433" s="9" t="s">
        <v>16</v>
      </c>
      <c r="D433" s="9" t="s">
        <v>29</v>
      </c>
      <c r="E433" s="7">
        <v>6</v>
      </c>
      <c r="F433" s="11">
        <v>2156.96</v>
      </c>
      <c r="G433" s="11">
        <v>12941.76</v>
      </c>
      <c r="H433" s="11">
        <v>2772.4</v>
      </c>
      <c r="I433" s="11" t="str">
        <f>TEXT(SalesData[[#This Row],[Date]],"dddd")</f>
        <v>Wednesday</v>
      </c>
      <c r="J433" s="11" t="str">
        <f>TEXT(SalesData[[#This Row],[Date]],"mmm")</f>
        <v>May</v>
      </c>
      <c r="K433" s="20">
        <f>MONTH(SalesData[[#This Row],[Date]])</f>
        <v>5</v>
      </c>
    </row>
    <row r="434" spans="1:11" x14ac:dyDescent="0.3">
      <c r="A434" s="5">
        <v>45441</v>
      </c>
      <c r="B434" s="9" t="s">
        <v>11</v>
      </c>
      <c r="C434" s="9" t="s">
        <v>17</v>
      </c>
      <c r="D434" s="9" t="s">
        <v>27</v>
      </c>
      <c r="E434" s="7">
        <v>3</v>
      </c>
      <c r="F434" s="11">
        <v>1654.85</v>
      </c>
      <c r="G434" s="11">
        <v>4964.55</v>
      </c>
      <c r="H434" s="11">
        <v>696.56</v>
      </c>
      <c r="I434" s="11" t="str">
        <f>TEXT(SalesData[[#This Row],[Date]],"dddd")</f>
        <v>Wednesday</v>
      </c>
      <c r="J434" s="11" t="str">
        <f>TEXT(SalesData[[#This Row],[Date]],"mmm")</f>
        <v>May</v>
      </c>
      <c r="K434" s="20">
        <f>MONTH(SalesData[[#This Row],[Date]])</f>
        <v>5</v>
      </c>
    </row>
    <row r="435" spans="1:11" x14ac:dyDescent="0.3">
      <c r="A435" s="5">
        <v>45442</v>
      </c>
      <c r="B435" s="9" t="s">
        <v>8</v>
      </c>
      <c r="C435" s="9" t="s">
        <v>17</v>
      </c>
      <c r="D435" s="9" t="s">
        <v>28</v>
      </c>
      <c r="E435" s="7">
        <v>2</v>
      </c>
      <c r="F435" s="11">
        <v>1305.7</v>
      </c>
      <c r="G435" s="11">
        <v>2611.4</v>
      </c>
      <c r="H435" s="11">
        <v>554.85</v>
      </c>
      <c r="I435" s="11" t="str">
        <f>TEXT(SalesData[[#This Row],[Date]],"dddd")</f>
        <v>Thursday</v>
      </c>
      <c r="J435" s="11" t="str">
        <f>TEXT(SalesData[[#This Row],[Date]],"mmm")</f>
        <v>May</v>
      </c>
      <c r="K435" s="20">
        <f>MONTH(SalesData[[#This Row],[Date]])</f>
        <v>5</v>
      </c>
    </row>
    <row r="436" spans="1:11" x14ac:dyDescent="0.3">
      <c r="A436" s="5">
        <v>45442</v>
      </c>
      <c r="B436" s="9" t="s">
        <v>8</v>
      </c>
      <c r="C436" s="9" t="s">
        <v>15</v>
      </c>
      <c r="D436" s="9" t="s">
        <v>30</v>
      </c>
      <c r="E436" s="7">
        <v>8</v>
      </c>
      <c r="F436" s="11">
        <v>1154.58</v>
      </c>
      <c r="G436" s="11">
        <v>9236.64</v>
      </c>
      <c r="H436" s="11">
        <v>927.09</v>
      </c>
      <c r="I436" s="11" t="str">
        <f>TEXT(SalesData[[#This Row],[Date]],"dddd")</f>
        <v>Thursday</v>
      </c>
      <c r="J436" s="11" t="str">
        <f>TEXT(SalesData[[#This Row],[Date]],"mmm")</f>
        <v>May</v>
      </c>
      <c r="K436" s="20">
        <f>MONTH(SalesData[[#This Row],[Date]])</f>
        <v>5</v>
      </c>
    </row>
    <row r="437" spans="1:11" x14ac:dyDescent="0.3">
      <c r="A437" s="5">
        <v>45442</v>
      </c>
      <c r="B437" s="9" t="s">
        <v>11</v>
      </c>
      <c r="C437" s="9" t="s">
        <v>14</v>
      </c>
      <c r="D437" s="9" t="s">
        <v>19</v>
      </c>
      <c r="E437" s="7">
        <v>6</v>
      </c>
      <c r="F437" s="11">
        <v>2200.21</v>
      </c>
      <c r="G437" s="11">
        <v>13201.26</v>
      </c>
      <c r="H437" s="11">
        <v>2895.72</v>
      </c>
      <c r="I437" s="11" t="str">
        <f>TEXT(SalesData[[#This Row],[Date]],"dddd")</f>
        <v>Thursday</v>
      </c>
      <c r="J437" s="11" t="str">
        <f>TEXT(SalesData[[#This Row],[Date]],"mmm")</f>
        <v>May</v>
      </c>
      <c r="K437" s="20">
        <f>MONTH(SalesData[[#This Row],[Date]])</f>
        <v>5</v>
      </c>
    </row>
    <row r="438" spans="1:11" x14ac:dyDescent="0.3">
      <c r="A438" s="5">
        <v>45442</v>
      </c>
      <c r="B438" s="9" t="s">
        <v>10</v>
      </c>
      <c r="C438" s="9" t="s">
        <v>16</v>
      </c>
      <c r="D438" s="9" t="s">
        <v>26</v>
      </c>
      <c r="E438" s="7">
        <v>4</v>
      </c>
      <c r="F438" s="11">
        <v>1489.43</v>
      </c>
      <c r="G438" s="11">
        <v>5957.72</v>
      </c>
      <c r="H438" s="11">
        <v>884.3</v>
      </c>
      <c r="I438" s="11" t="str">
        <f>TEXT(SalesData[[#This Row],[Date]],"dddd")</f>
        <v>Thursday</v>
      </c>
      <c r="J438" s="11" t="str">
        <f>TEXT(SalesData[[#This Row],[Date]],"mmm")</f>
        <v>May</v>
      </c>
      <c r="K438" s="20">
        <f>MONTH(SalesData[[#This Row],[Date]])</f>
        <v>5</v>
      </c>
    </row>
    <row r="439" spans="1:11" x14ac:dyDescent="0.3">
      <c r="A439" s="5">
        <v>45443</v>
      </c>
      <c r="B439" s="9" t="s">
        <v>13</v>
      </c>
      <c r="C439" s="9" t="s">
        <v>16</v>
      </c>
      <c r="D439" s="9" t="s">
        <v>25</v>
      </c>
      <c r="E439" s="7">
        <v>8</v>
      </c>
      <c r="F439" s="11">
        <v>2076.61</v>
      </c>
      <c r="G439" s="11">
        <v>16612.88</v>
      </c>
      <c r="H439" s="11">
        <v>3889.46</v>
      </c>
      <c r="I439" s="11" t="str">
        <f>TEXT(SalesData[[#This Row],[Date]],"dddd")</f>
        <v>Friday</v>
      </c>
      <c r="J439" s="11" t="str">
        <f>TEXT(SalesData[[#This Row],[Date]],"mmm")</f>
        <v>May</v>
      </c>
      <c r="K439" s="20">
        <f>MONTH(SalesData[[#This Row],[Date]])</f>
        <v>5</v>
      </c>
    </row>
    <row r="440" spans="1:11" x14ac:dyDescent="0.3">
      <c r="A440" s="5">
        <v>45443</v>
      </c>
      <c r="B440" s="9" t="s">
        <v>12</v>
      </c>
      <c r="C440" s="9" t="s">
        <v>14</v>
      </c>
      <c r="D440" s="9" t="s">
        <v>21</v>
      </c>
      <c r="E440" s="7">
        <v>8</v>
      </c>
      <c r="F440" s="11">
        <v>532.55999999999995</v>
      </c>
      <c r="G440" s="11">
        <v>4260.4799999999996</v>
      </c>
      <c r="H440" s="11">
        <v>1020.02</v>
      </c>
      <c r="I440" s="11" t="str">
        <f>TEXT(SalesData[[#This Row],[Date]],"dddd")</f>
        <v>Friday</v>
      </c>
      <c r="J440" s="11" t="str">
        <f>TEXT(SalesData[[#This Row],[Date]],"mmm")</f>
        <v>May</v>
      </c>
      <c r="K440" s="20">
        <f>MONTH(SalesData[[#This Row],[Date]])</f>
        <v>5</v>
      </c>
    </row>
    <row r="441" spans="1:11" x14ac:dyDescent="0.3">
      <c r="A441" s="5">
        <v>45443</v>
      </c>
      <c r="B441" s="9" t="s">
        <v>8</v>
      </c>
      <c r="C441" s="9" t="s">
        <v>17</v>
      </c>
      <c r="D441" s="9" t="s">
        <v>27</v>
      </c>
      <c r="E441" s="7">
        <v>1</v>
      </c>
      <c r="F441" s="11">
        <v>2483.6799999999998</v>
      </c>
      <c r="G441" s="11">
        <v>2483.6799999999998</v>
      </c>
      <c r="H441" s="11">
        <v>407.75</v>
      </c>
      <c r="I441" s="11" t="str">
        <f>TEXT(SalesData[[#This Row],[Date]],"dddd")</f>
        <v>Friday</v>
      </c>
      <c r="J441" s="11" t="str">
        <f>TEXT(SalesData[[#This Row],[Date]],"mmm")</f>
        <v>May</v>
      </c>
      <c r="K441" s="20">
        <f>MONTH(SalesData[[#This Row],[Date]])</f>
        <v>5</v>
      </c>
    </row>
    <row r="442" spans="1:11" x14ac:dyDescent="0.3">
      <c r="A442" s="5">
        <v>45444</v>
      </c>
      <c r="B442" s="9" t="s">
        <v>13</v>
      </c>
      <c r="C442" s="9" t="s">
        <v>15</v>
      </c>
      <c r="D442" s="9" t="s">
        <v>24</v>
      </c>
      <c r="E442" s="7">
        <v>5</v>
      </c>
      <c r="F442" s="11">
        <v>686.68</v>
      </c>
      <c r="G442" s="11">
        <v>3433.4</v>
      </c>
      <c r="H442" s="11">
        <v>528.97</v>
      </c>
      <c r="I442" s="11" t="str">
        <f>TEXT(SalesData[[#This Row],[Date]],"dddd")</f>
        <v>Saturday</v>
      </c>
      <c r="J442" s="11" t="str">
        <f>TEXT(SalesData[[#This Row],[Date]],"mmm")</f>
        <v>Jun</v>
      </c>
      <c r="K442" s="20">
        <f>MONTH(SalesData[[#This Row],[Date]])</f>
        <v>6</v>
      </c>
    </row>
    <row r="443" spans="1:11" x14ac:dyDescent="0.3">
      <c r="A443" s="5">
        <v>45444</v>
      </c>
      <c r="B443" s="9" t="s">
        <v>8</v>
      </c>
      <c r="C443" s="9" t="s">
        <v>15</v>
      </c>
      <c r="D443" s="9" t="s">
        <v>24</v>
      </c>
      <c r="E443" s="7">
        <v>1</v>
      </c>
      <c r="F443" s="11">
        <v>1292.68</v>
      </c>
      <c r="G443" s="11">
        <v>1292.68</v>
      </c>
      <c r="H443" s="11">
        <v>188.51</v>
      </c>
      <c r="I443" s="11" t="str">
        <f>TEXT(SalesData[[#This Row],[Date]],"dddd")</f>
        <v>Saturday</v>
      </c>
      <c r="J443" s="11" t="str">
        <f>TEXT(SalesData[[#This Row],[Date]],"mmm")</f>
        <v>Jun</v>
      </c>
      <c r="K443" s="20">
        <f>MONTH(SalesData[[#This Row],[Date]])</f>
        <v>6</v>
      </c>
    </row>
    <row r="444" spans="1:11" x14ac:dyDescent="0.3">
      <c r="A444" s="5">
        <v>45445</v>
      </c>
      <c r="B444" s="9" t="s">
        <v>12</v>
      </c>
      <c r="C444" s="9" t="s">
        <v>17</v>
      </c>
      <c r="D444" s="9" t="s">
        <v>28</v>
      </c>
      <c r="E444" s="7">
        <v>2</v>
      </c>
      <c r="F444" s="11">
        <v>502.17</v>
      </c>
      <c r="G444" s="11">
        <v>1004.34</v>
      </c>
      <c r="H444" s="11">
        <v>172.27</v>
      </c>
      <c r="I444" s="11" t="str">
        <f>TEXT(SalesData[[#This Row],[Date]],"dddd")</f>
        <v>Sunday</v>
      </c>
      <c r="J444" s="11" t="str">
        <f>TEXT(SalesData[[#This Row],[Date]],"mmm")</f>
        <v>Jun</v>
      </c>
      <c r="K444" s="20">
        <f>MONTH(SalesData[[#This Row],[Date]])</f>
        <v>6</v>
      </c>
    </row>
    <row r="445" spans="1:11" x14ac:dyDescent="0.3">
      <c r="A445" s="5">
        <v>45445</v>
      </c>
      <c r="B445" s="9" t="s">
        <v>13</v>
      </c>
      <c r="C445" s="9" t="s">
        <v>16</v>
      </c>
      <c r="D445" s="9" t="s">
        <v>25</v>
      </c>
      <c r="E445" s="7">
        <v>8</v>
      </c>
      <c r="F445" s="11">
        <v>518.57000000000005</v>
      </c>
      <c r="G445" s="11">
        <v>4148.5600000000004</v>
      </c>
      <c r="H445" s="11">
        <v>847.71</v>
      </c>
      <c r="I445" s="11" t="str">
        <f>TEXT(SalesData[[#This Row],[Date]],"dddd")</f>
        <v>Sunday</v>
      </c>
      <c r="J445" s="11" t="str">
        <f>TEXT(SalesData[[#This Row],[Date]],"mmm")</f>
        <v>Jun</v>
      </c>
      <c r="K445" s="20">
        <f>MONTH(SalesData[[#This Row],[Date]])</f>
        <v>6</v>
      </c>
    </row>
    <row r="446" spans="1:11" x14ac:dyDescent="0.3">
      <c r="A446" s="5">
        <v>45446</v>
      </c>
      <c r="B446" s="9" t="s">
        <v>13</v>
      </c>
      <c r="C446" s="9" t="s">
        <v>16</v>
      </c>
      <c r="D446" s="9" t="s">
        <v>26</v>
      </c>
      <c r="E446" s="7">
        <v>2</v>
      </c>
      <c r="F446" s="11">
        <v>957.89</v>
      </c>
      <c r="G446" s="11">
        <v>1915.78</v>
      </c>
      <c r="H446" s="11">
        <v>217.25</v>
      </c>
      <c r="I446" s="11" t="str">
        <f>TEXT(SalesData[[#This Row],[Date]],"dddd")</f>
        <v>Monday</v>
      </c>
      <c r="J446" s="11" t="str">
        <f>TEXT(SalesData[[#This Row],[Date]],"mmm")</f>
        <v>Jun</v>
      </c>
      <c r="K446" s="20">
        <f>MONTH(SalesData[[#This Row],[Date]])</f>
        <v>6</v>
      </c>
    </row>
    <row r="447" spans="1:11" x14ac:dyDescent="0.3">
      <c r="A447" s="5">
        <v>45446</v>
      </c>
      <c r="B447" s="9" t="s">
        <v>12</v>
      </c>
      <c r="C447" s="9" t="s">
        <v>14</v>
      </c>
      <c r="D447" s="9" t="s">
        <v>18</v>
      </c>
      <c r="E447" s="7">
        <v>6</v>
      </c>
      <c r="F447" s="11">
        <v>2261.98</v>
      </c>
      <c r="G447" s="11">
        <v>13571.88</v>
      </c>
      <c r="H447" s="11">
        <v>1636.35</v>
      </c>
      <c r="I447" s="11" t="str">
        <f>TEXT(SalesData[[#This Row],[Date]],"dddd")</f>
        <v>Monday</v>
      </c>
      <c r="J447" s="11" t="str">
        <f>TEXT(SalesData[[#This Row],[Date]],"mmm")</f>
        <v>Jun</v>
      </c>
      <c r="K447" s="20">
        <f>MONTH(SalesData[[#This Row],[Date]])</f>
        <v>6</v>
      </c>
    </row>
    <row r="448" spans="1:11" x14ac:dyDescent="0.3">
      <c r="A448" s="5">
        <v>45446</v>
      </c>
      <c r="B448" s="9" t="s">
        <v>12</v>
      </c>
      <c r="C448" s="9" t="s">
        <v>16</v>
      </c>
      <c r="D448" s="9" t="s">
        <v>29</v>
      </c>
      <c r="E448" s="7">
        <v>9</v>
      </c>
      <c r="F448" s="11">
        <v>1626.58</v>
      </c>
      <c r="G448" s="11">
        <v>14639.22</v>
      </c>
      <c r="H448" s="11">
        <v>2804.11</v>
      </c>
      <c r="I448" s="11" t="str">
        <f>TEXT(SalesData[[#This Row],[Date]],"dddd")</f>
        <v>Monday</v>
      </c>
      <c r="J448" s="11" t="str">
        <f>TEXT(SalesData[[#This Row],[Date]],"mmm")</f>
        <v>Jun</v>
      </c>
      <c r="K448" s="20">
        <f>MONTH(SalesData[[#This Row],[Date]])</f>
        <v>6</v>
      </c>
    </row>
    <row r="449" spans="1:11" x14ac:dyDescent="0.3">
      <c r="A449" s="5">
        <v>45446</v>
      </c>
      <c r="B449" s="9" t="s">
        <v>11</v>
      </c>
      <c r="C449" s="9" t="s">
        <v>17</v>
      </c>
      <c r="D449" s="9" t="s">
        <v>27</v>
      </c>
      <c r="E449" s="7">
        <v>4</v>
      </c>
      <c r="F449" s="11">
        <v>1756.16</v>
      </c>
      <c r="G449" s="11">
        <v>7024.64</v>
      </c>
      <c r="H449" s="11">
        <v>861.97</v>
      </c>
      <c r="I449" s="11" t="str">
        <f>TEXT(SalesData[[#This Row],[Date]],"dddd")</f>
        <v>Monday</v>
      </c>
      <c r="J449" s="11" t="str">
        <f>TEXT(SalesData[[#This Row],[Date]],"mmm")</f>
        <v>Jun</v>
      </c>
      <c r="K449" s="20">
        <f>MONTH(SalesData[[#This Row],[Date]])</f>
        <v>6</v>
      </c>
    </row>
    <row r="450" spans="1:11" x14ac:dyDescent="0.3">
      <c r="A450" s="5">
        <v>45447</v>
      </c>
      <c r="B450" s="9" t="s">
        <v>13</v>
      </c>
      <c r="C450" s="9" t="s">
        <v>17</v>
      </c>
      <c r="D450" s="9" t="s">
        <v>28</v>
      </c>
      <c r="E450" s="7">
        <v>2</v>
      </c>
      <c r="F450" s="11">
        <v>2293.19</v>
      </c>
      <c r="G450" s="11">
        <v>4586.38</v>
      </c>
      <c r="H450" s="11">
        <v>554.96</v>
      </c>
      <c r="I450" s="11" t="str">
        <f>TEXT(SalesData[[#This Row],[Date]],"dddd")</f>
        <v>Tuesday</v>
      </c>
      <c r="J450" s="11" t="str">
        <f>TEXT(SalesData[[#This Row],[Date]],"mmm")</f>
        <v>Jun</v>
      </c>
      <c r="K450" s="20">
        <f>MONTH(SalesData[[#This Row],[Date]])</f>
        <v>6</v>
      </c>
    </row>
    <row r="451" spans="1:11" x14ac:dyDescent="0.3">
      <c r="A451" s="5">
        <v>45447</v>
      </c>
      <c r="B451" s="9" t="s">
        <v>10</v>
      </c>
      <c r="C451" s="9" t="s">
        <v>17</v>
      </c>
      <c r="D451" s="9" t="s">
        <v>27</v>
      </c>
      <c r="E451" s="7">
        <v>7</v>
      </c>
      <c r="F451" s="11">
        <v>1129.01</v>
      </c>
      <c r="G451" s="11">
        <v>7903.07</v>
      </c>
      <c r="H451" s="11">
        <v>956.07</v>
      </c>
      <c r="I451" s="11" t="str">
        <f>TEXT(SalesData[[#This Row],[Date]],"dddd")</f>
        <v>Tuesday</v>
      </c>
      <c r="J451" s="11" t="str">
        <f>TEXT(SalesData[[#This Row],[Date]],"mmm")</f>
        <v>Jun</v>
      </c>
      <c r="K451" s="20">
        <f>MONTH(SalesData[[#This Row],[Date]])</f>
        <v>6</v>
      </c>
    </row>
    <row r="452" spans="1:11" x14ac:dyDescent="0.3">
      <c r="A452" s="5">
        <v>45447</v>
      </c>
      <c r="B452" s="9" t="s">
        <v>10</v>
      </c>
      <c r="C452" s="9" t="s">
        <v>14</v>
      </c>
      <c r="D452" s="9" t="s">
        <v>20</v>
      </c>
      <c r="E452" s="7">
        <v>9</v>
      </c>
      <c r="F452" s="11">
        <v>1702</v>
      </c>
      <c r="G452" s="11">
        <v>15318</v>
      </c>
      <c r="H452" s="11">
        <v>3188.85</v>
      </c>
      <c r="I452" s="11" t="str">
        <f>TEXT(SalesData[[#This Row],[Date]],"dddd")</f>
        <v>Tuesday</v>
      </c>
      <c r="J452" s="11" t="str">
        <f>TEXT(SalesData[[#This Row],[Date]],"mmm")</f>
        <v>Jun</v>
      </c>
      <c r="K452" s="20">
        <f>MONTH(SalesData[[#This Row],[Date]])</f>
        <v>6</v>
      </c>
    </row>
    <row r="453" spans="1:11" x14ac:dyDescent="0.3">
      <c r="A453" s="5">
        <v>45447</v>
      </c>
      <c r="B453" s="9" t="s">
        <v>8</v>
      </c>
      <c r="C453" s="9" t="s">
        <v>14</v>
      </c>
      <c r="D453" s="9" t="s">
        <v>18</v>
      </c>
      <c r="E453" s="7">
        <v>4</v>
      </c>
      <c r="F453" s="11">
        <v>1535.5</v>
      </c>
      <c r="G453" s="11">
        <v>6142</v>
      </c>
      <c r="H453" s="11">
        <v>1083.6199999999999</v>
      </c>
      <c r="I453" s="11" t="str">
        <f>TEXT(SalesData[[#This Row],[Date]],"dddd")</f>
        <v>Tuesday</v>
      </c>
      <c r="J453" s="11" t="str">
        <f>TEXT(SalesData[[#This Row],[Date]],"mmm")</f>
        <v>Jun</v>
      </c>
      <c r="K453" s="20">
        <f>MONTH(SalesData[[#This Row],[Date]])</f>
        <v>6</v>
      </c>
    </row>
    <row r="454" spans="1:11" x14ac:dyDescent="0.3">
      <c r="A454" s="5">
        <v>45447</v>
      </c>
      <c r="B454" s="9" t="s">
        <v>12</v>
      </c>
      <c r="C454" s="9" t="s">
        <v>17</v>
      </c>
      <c r="D454" s="9" t="s">
        <v>27</v>
      </c>
      <c r="E454" s="7">
        <v>1</v>
      </c>
      <c r="F454" s="11">
        <v>2067.6</v>
      </c>
      <c r="G454" s="11">
        <v>2067.6</v>
      </c>
      <c r="H454" s="11">
        <v>452.94</v>
      </c>
      <c r="I454" s="11" t="str">
        <f>TEXT(SalesData[[#This Row],[Date]],"dddd")</f>
        <v>Tuesday</v>
      </c>
      <c r="J454" s="11" t="str">
        <f>TEXT(SalesData[[#This Row],[Date]],"mmm")</f>
        <v>Jun</v>
      </c>
      <c r="K454" s="20">
        <f>MONTH(SalesData[[#This Row],[Date]])</f>
        <v>6</v>
      </c>
    </row>
    <row r="455" spans="1:11" x14ac:dyDescent="0.3">
      <c r="A455" s="5">
        <v>45448</v>
      </c>
      <c r="B455" s="9" t="s">
        <v>9</v>
      </c>
      <c r="C455" s="9" t="s">
        <v>17</v>
      </c>
      <c r="D455" s="9" t="s">
        <v>28</v>
      </c>
      <c r="E455" s="7">
        <v>4</v>
      </c>
      <c r="F455" s="11">
        <v>1499.17</v>
      </c>
      <c r="G455" s="11">
        <v>5996.68</v>
      </c>
      <c r="H455" s="11">
        <v>1133.9100000000001</v>
      </c>
      <c r="I455" s="11" t="str">
        <f>TEXT(SalesData[[#This Row],[Date]],"dddd")</f>
        <v>Wednesday</v>
      </c>
      <c r="J455" s="11" t="str">
        <f>TEXT(SalesData[[#This Row],[Date]],"mmm")</f>
        <v>Jun</v>
      </c>
      <c r="K455" s="20">
        <f>MONTH(SalesData[[#This Row],[Date]])</f>
        <v>6</v>
      </c>
    </row>
    <row r="456" spans="1:11" x14ac:dyDescent="0.3">
      <c r="A456" s="5">
        <v>45448</v>
      </c>
      <c r="B456" s="9" t="s">
        <v>9</v>
      </c>
      <c r="C456" s="9" t="s">
        <v>14</v>
      </c>
      <c r="D456" s="9" t="s">
        <v>18</v>
      </c>
      <c r="E456" s="7">
        <v>6</v>
      </c>
      <c r="F456" s="11">
        <v>763.97</v>
      </c>
      <c r="G456" s="11">
        <v>4583.82</v>
      </c>
      <c r="H456" s="11">
        <v>1050.25</v>
      </c>
      <c r="I456" s="11" t="str">
        <f>TEXT(SalesData[[#This Row],[Date]],"dddd")</f>
        <v>Wednesday</v>
      </c>
      <c r="J456" s="11" t="str">
        <f>TEXT(SalesData[[#This Row],[Date]],"mmm")</f>
        <v>Jun</v>
      </c>
      <c r="K456" s="20">
        <f>MONTH(SalesData[[#This Row],[Date]])</f>
        <v>6</v>
      </c>
    </row>
    <row r="457" spans="1:11" x14ac:dyDescent="0.3">
      <c r="A457" s="5">
        <v>45448</v>
      </c>
      <c r="B457" s="9" t="s">
        <v>13</v>
      </c>
      <c r="C457" s="9" t="s">
        <v>17</v>
      </c>
      <c r="D457" s="9" t="s">
        <v>27</v>
      </c>
      <c r="E457" s="7">
        <v>9</v>
      </c>
      <c r="F457" s="11">
        <v>1865.88</v>
      </c>
      <c r="G457" s="11">
        <v>16792.919999999998</v>
      </c>
      <c r="H457" s="11">
        <v>3600.55</v>
      </c>
      <c r="I457" s="11" t="str">
        <f>TEXT(SalesData[[#This Row],[Date]],"dddd")</f>
        <v>Wednesday</v>
      </c>
      <c r="J457" s="11" t="str">
        <f>TEXT(SalesData[[#This Row],[Date]],"mmm")</f>
        <v>Jun</v>
      </c>
      <c r="K457" s="20">
        <f>MONTH(SalesData[[#This Row],[Date]])</f>
        <v>6</v>
      </c>
    </row>
    <row r="458" spans="1:11" x14ac:dyDescent="0.3">
      <c r="A458" s="5">
        <v>45448</v>
      </c>
      <c r="B458" s="9" t="s">
        <v>13</v>
      </c>
      <c r="C458" s="9" t="s">
        <v>14</v>
      </c>
      <c r="D458" s="9" t="s">
        <v>21</v>
      </c>
      <c r="E458" s="7">
        <v>1</v>
      </c>
      <c r="F458" s="11">
        <v>1024.3699999999999</v>
      </c>
      <c r="G458" s="11">
        <v>1024.3699999999999</v>
      </c>
      <c r="H458" s="11">
        <v>108.56</v>
      </c>
      <c r="I458" s="11" t="str">
        <f>TEXT(SalesData[[#This Row],[Date]],"dddd")</f>
        <v>Wednesday</v>
      </c>
      <c r="J458" s="11" t="str">
        <f>TEXT(SalesData[[#This Row],[Date]],"mmm")</f>
        <v>Jun</v>
      </c>
      <c r="K458" s="20">
        <f>MONTH(SalesData[[#This Row],[Date]])</f>
        <v>6</v>
      </c>
    </row>
    <row r="459" spans="1:11" x14ac:dyDescent="0.3">
      <c r="A459" s="5">
        <v>45449</v>
      </c>
      <c r="B459" s="9" t="s">
        <v>9</v>
      </c>
      <c r="C459" s="9" t="s">
        <v>15</v>
      </c>
      <c r="D459" s="9" t="s">
        <v>30</v>
      </c>
      <c r="E459" s="7">
        <v>7</v>
      </c>
      <c r="F459" s="11">
        <v>1903.62</v>
      </c>
      <c r="G459" s="11">
        <v>13325.34</v>
      </c>
      <c r="H459" s="11">
        <v>1497.29</v>
      </c>
      <c r="I459" s="11" t="str">
        <f>TEXT(SalesData[[#This Row],[Date]],"dddd")</f>
        <v>Thursday</v>
      </c>
      <c r="J459" s="11" t="str">
        <f>TEXT(SalesData[[#This Row],[Date]],"mmm")</f>
        <v>Jun</v>
      </c>
      <c r="K459" s="20">
        <f>MONTH(SalesData[[#This Row],[Date]])</f>
        <v>6</v>
      </c>
    </row>
    <row r="460" spans="1:11" x14ac:dyDescent="0.3">
      <c r="A460" s="5">
        <v>45449</v>
      </c>
      <c r="B460" s="9" t="s">
        <v>12</v>
      </c>
      <c r="C460" s="9" t="s">
        <v>16</v>
      </c>
      <c r="D460" s="9" t="s">
        <v>26</v>
      </c>
      <c r="E460" s="7">
        <v>2</v>
      </c>
      <c r="F460" s="11">
        <v>1119.81</v>
      </c>
      <c r="G460" s="11">
        <v>2239.62</v>
      </c>
      <c r="H460" s="11">
        <v>395.73</v>
      </c>
      <c r="I460" s="11" t="str">
        <f>TEXT(SalesData[[#This Row],[Date]],"dddd")</f>
        <v>Thursday</v>
      </c>
      <c r="J460" s="11" t="str">
        <f>TEXT(SalesData[[#This Row],[Date]],"mmm")</f>
        <v>Jun</v>
      </c>
      <c r="K460" s="20">
        <f>MONTH(SalesData[[#This Row],[Date]])</f>
        <v>6</v>
      </c>
    </row>
    <row r="461" spans="1:11" x14ac:dyDescent="0.3">
      <c r="A461" s="5">
        <v>45449</v>
      </c>
      <c r="B461" s="9" t="s">
        <v>8</v>
      </c>
      <c r="C461" s="9" t="s">
        <v>16</v>
      </c>
      <c r="D461" s="9" t="s">
        <v>25</v>
      </c>
      <c r="E461" s="7">
        <v>6</v>
      </c>
      <c r="F461" s="11">
        <v>1281.46</v>
      </c>
      <c r="G461" s="11">
        <v>7688.76</v>
      </c>
      <c r="H461" s="11">
        <v>1500.42</v>
      </c>
      <c r="I461" s="11" t="str">
        <f>TEXT(SalesData[[#This Row],[Date]],"dddd")</f>
        <v>Thursday</v>
      </c>
      <c r="J461" s="11" t="str">
        <f>TEXT(SalesData[[#This Row],[Date]],"mmm")</f>
        <v>Jun</v>
      </c>
      <c r="K461" s="20">
        <f>MONTH(SalesData[[#This Row],[Date]])</f>
        <v>6</v>
      </c>
    </row>
    <row r="462" spans="1:11" x14ac:dyDescent="0.3">
      <c r="A462" s="5">
        <v>45449</v>
      </c>
      <c r="B462" s="9" t="s">
        <v>13</v>
      </c>
      <c r="C462" s="9" t="s">
        <v>14</v>
      </c>
      <c r="D462" s="9" t="s">
        <v>18</v>
      </c>
      <c r="E462" s="7">
        <v>7</v>
      </c>
      <c r="F462" s="11">
        <v>1959.92</v>
      </c>
      <c r="G462" s="11">
        <v>13719.44</v>
      </c>
      <c r="H462" s="11">
        <v>3113.9</v>
      </c>
      <c r="I462" s="11" t="str">
        <f>TEXT(SalesData[[#This Row],[Date]],"dddd")</f>
        <v>Thursday</v>
      </c>
      <c r="J462" s="11" t="str">
        <f>TEXT(SalesData[[#This Row],[Date]],"mmm")</f>
        <v>Jun</v>
      </c>
      <c r="K462" s="20">
        <f>MONTH(SalesData[[#This Row],[Date]])</f>
        <v>6</v>
      </c>
    </row>
    <row r="463" spans="1:11" x14ac:dyDescent="0.3">
      <c r="A463" s="5">
        <v>45450</v>
      </c>
      <c r="B463" s="9" t="s">
        <v>10</v>
      </c>
      <c r="C463" s="9" t="s">
        <v>14</v>
      </c>
      <c r="D463" s="9" t="s">
        <v>19</v>
      </c>
      <c r="E463" s="7">
        <v>2</v>
      </c>
      <c r="F463" s="11">
        <v>1406.74</v>
      </c>
      <c r="G463" s="11">
        <v>2813.48</v>
      </c>
      <c r="H463" s="11">
        <v>538.29</v>
      </c>
      <c r="I463" s="11" t="str">
        <f>TEXT(SalesData[[#This Row],[Date]],"dddd")</f>
        <v>Friday</v>
      </c>
      <c r="J463" s="11" t="str">
        <f>TEXT(SalesData[[#This Row],[Date]],"mmm")</f>
        <v>Jun</v>
      </c>
      <c r="K463" s="20">
        <f>MONTH(SalesData[[#This Row],[Date]])</f>
        <v>6</v>
      </c>
    </row>
    <row r="464" spans="1:11" x14ac:dyDescent="0.3">
      <c r="A464" s="5">
        <v>45450</v>
      </c>
      <c r="B464" s="9" t="s">
        <v>12</v>
      </c>
      <c r="C464" s="9" t="s">
        <v>16</v>
      </c>
      <c r="D464" s="9" t="s">
        <v>29</v>
      </c>
      <c r="E464" s="7">
        <v>1</v>
      </c>
      <c r="F464" s="11">
        <v>1915.8</v>
      </c>
      <c r="G464" s="11">
        <v>1915.8</v>
      </c>
      <c r="H464" s="11">
        <v>393.17</v>
      </c>
      <c r="I464" s="11" t="str">
        <f>TEXT(SalesData[[#This Row],[Date]],"dddd")</f>
        <v>Friday</v>
      </c>
      <c r="J464" s="11" t="str">
        <f>TEXT(SalesData[[#This Row],[Date]],"mmm")</f>
        <v>Jun</v>
      </c>
      <c r="K464" s="20">
        <f>MONTH(SalesData[[#This Row],[Date]])</f>
        <v>6</v>
      </c>
    </row>
    <row r="465" spans="1:11" x14ac:dyDescent="0.3">
      <c r="A465" s="5">
        <v>45451</v>
      </c>
      <c r="B465" s="9" t="s">
        <v>10</v>
      </c>
      <c r="C465" s="9" t="s">
        <v>15</v>
      </c>
      <c r="D465" s="9" t="s">
        <v>23</v>
      </c>
      <c r="E465" s="7">
        <v>3</v>
      </c>
      <c r="F465" s="11">
        <v>1243.74</v>
      </c>
      <c r="G465" s="11">
        <v>3731.22</v>
      </c>
      <c r="H465" s="11">
        <v>792.76</v>
      </c>
      <c r="I465" s="11" t="str">
        <f>TEXT(SalesData[[#This Row],[Date]],"dddd")</f>
        <v>Saturday</v>
      </c>
      <c r="J465" s="11" t="str">
        <f>TEXT(SalesData[[#This Row],[Date]],"mmm")</f>
        <v>Jun</v>
      </c>
      <c r="K465" s="20">
        <f>MONTH(SalesData[[#This Row],[Date]])</f>
        <v>6</v>
      </c>
    </row>
    <row r="466" spans="1:11" x14ac:dyDescent="0.3">
      <c r="A466" s="5">
        <v>45451</v>
      </c>
      <c r="B466" s="9" t="s">
        <v>13</v>
      </c>
      <c r="C466" s="9" t="s">
        <v>14</v>
      </c>
      <c r="D466" s="9" t="s">
        <v>21</v>
      </c>
      <c r="E466" s="7">
        <v>6</v>
      </c>
      <c r="F466" s="11">
        <v>2114.2199999999998</v>
      </c>
      <c r="G466" s="11">
        <v>12685.32</v>
      </c>
      <c r="H466" s="11">
        <v>1786.06</v>
      </c>
      <c r="I466" s="11" t="str">
        <f>TEXT(SalesData[[#This Row],[Date]],"dddd")</f>
        <v>Saturday</v>
      </c>
      <c r="J466" s="11" t="str">
        <f>TEXT(SalesData[[#This Row],[Date]],"mmm")</f>
        <v>Jun</v>
      </c>
      <c r="K466" s="20">
        <f>MONTH(SalesData[[#This Row],[Date]])</f>
        <v>6</v>
      </c>
    </row>
    <row r="467" spans="1:11" x14ac:dyDescent="0.3">
      <c r="A467" s="5">
        <v>45451</v>
      </c>
      <c r="B467" s="9" t="s">
        <v>11</v>
      </c>
      <c r="C467" s="9" t="s">
        <v>15</v>
      </c>
      <c r="D467" s="9" t="s">
        <v>22</v>
      </c>
      <c r="E467" s="7">
        <v>8</v>
      </c>
      <c r="F467" s="11">
        <v>1410.4</v>
      </c>
      <c r="G467" s="11">
        <v>11283.2</v>
      </c>
      <c r="H467" s="11">
        <v>1737.82</v>
      </c>
      <c r="I467" s="11" t="str">
        <f>TEXT(SalesData[[#This Row],[Date]],"dddd")</f>
        <v>Saturday</v>
      </c>
      <c r="J467" s="11" t="str">
        <f>TEXT(SalesData[[#This Row],[Date]],"mmm")</f>
        <v>Jun</v>
      </c>
      <c r="K467" s="20">
        <f>MONTH(SalesData[[#This Row],[Date]])</f>
        <v>6</v>
      </c>
    </row>
    <row r="468" spans="1:11" x14ac:dyDescent="0.3">
      <c r="A468" s="5">
        <v>45451</v>
      </c>
      <c r="B468" s="9" t="s">
        <v>9</v>
      </c>
      <c r="C468" s="9" t="s">
        <v>16</v>
      </c>
      <c r="D468" s="9" t="s">
        <v>26</v>
      </c>
      <c r="E468" s="7">
        <v>3</v>
      </c>
      <c r="F468" s="11">
        <v>1010.23</v>
      </c>
      <c r="G468" s="11">
        <v>3030.69</v>
      </c>
      <c r="H468" s="11">
        <v>349.85</v>
      </c>
      <c r="I468" s="11" t="str">
        <f>TEXT(SalesData[[#This Row],[Date]],"dddd")</f>
        <v>Saturday</v>
      </c>
      <c r="J468" s="11" t="str">
        <f>TEXT(SalesData[[#This Row],[Date]],"mmm")</f>
        <v>Jun</v>
      </c>
      <c r="K468" s="20">
        <f>MONTH(SalesData[[#This Row],[Date]])</f>
        <v>6</v>
      </c>
    </row>
    <row r="469" spans="1:11" x14ac:dyDescent="0.3">
      <c r="A469" s="5">
        <v>45452</v>
      </c>
      <c r="B469" s="9" t="s">
        <v>13</v>
      </c>
      <c r="C469" s="9" t="s">
        <v>16</v>
      </c>
      <c r="D469" s="9" t="s">
        <v>25</v>
      </c>
      <c r="E469" s="7">
        <v>9</v>
      </c>
      <c r="F469" s="11">
        <v>505.14</v>
      </c>
      <c r="G469" s="11">
        <v>4546.26</v>
      </c>
      <c r="H469" s="11">
        <v>1040.2</v>
      </c>
      <c r="I469" s="11" t="str">
        <f>TEXT(SalesData[[#This Row],[Date]],"dddd")</f>
        <v>Sunday</v>
      </c>
      <c r="J469" s="11" t="str">
        <f>TEXT(SalesData[[#This Row],[Date]],"mmm")</f>
        <v>Jun</v>
      </c>
      <c r="K469" s="20">
        <f>MONTH(SalesData[[#This Row],[Date]])</f>
        <v>6</v>
      </c>
    </row>
    <row r="470" spans="1:11" x14ac:dyDescent="0.3">
      <c r="A470" s="5">
        <v>45453</v>
      </c>
      <c r="B470" s="9" t="s">
        <v>13</v>
      </c>
      <c r="C470" s="9" t="s">
        <v>14</v>
      </c>
      <c r="D470" s="9" t="s">
        <v>19</v>
      </c>
      <c r="E470" s="7">
        <v>6</v>
      </c>
      <c r="F470" s="11">
        <v>1265.96</v>
      </c>
      <c r="G470" s="11">
        <v>7595.76</v>
      </c>
      <c r="H470" s="11">
        <v>930.58</v>
      </c>
      <c r="I470" s="11" t="str">
        <f>TEXT(SalesData[[#This Row],[Date]],"dddd")</f>
        <v>Monday</v>
      </c>
      <c r="J470" s="11" t="str">
        <f>TEXT(SalesData[[#This Row],[Date]],"mmm")</f>
        <v>Jun</v>
      </c>
      <c r="K470" s="20">
        <f>MONTH(SalesData[[#This Row],[Date]])</f>
        <v>6</v>
      </c>
    </row>
    <row r="471" spans="1:11" x14ac:dyDescent="0.3">
      <c r="A471" s="5">
        <v>45453</v>
      </c>
      <c r="B471" s="9" t="s">
        <v>10</v>
      </c>
      <c r="C471" s="9" t="s">
        <v>17</v>
      </c>
      <c r="D471" s="9" t="s">
        <v>28</v>
      </c>
      <c r="E471" s="7">
        <v>6</v>
      </c>
      <c r="F471" s="11">
        <v>996.53</v>
      </c>
      <c r="G471" s="11">
        <v>5979.18</v>
      </c>
      <c r="H471" s="11">
        <v>1419.33</v>
      </c>
      <c r="I471" s="11" t="str">
        <f>TEXT(SalesData[[#This Row],[Date]],"dddd")</f>
        <v>Monday</v>
      </c>
      <c r="J471" s="11" t="str">
        <f>TEXT(SalesData[[#This Row],[Date]],"mmm")</f>
        <v>Jun</v>
      </c>
      <c r="K471" s="20">
        <f>MONTH(SalesData[[#This Row],[Date]])</f>
        <v>6</v>
      </c>
    </row>
    <row r="472" spans="1:11" x14ac:dyDescent="0.3">
      <c r="A472" s="5">
        <v>45454</v>
      </c>
      <c r="B472" s="9" t="s">
        <v>12</v>
      </c>
      <c r="C472" s="9" t="s">
        <v>14</v>
      </c>
      <c r="D472" s="9" t="s">
        <v>18</v>
      </c>
      <c r="E472" s="7">
        <v>2</v>
      </c>
      <c r="F472" s="11">
        <v>1504.08</v>
      </c>
      <c r="G472" s="11">
        <v>3008.16</v>
      </c>
      <c r="H472" s="11">
        <v>707.79</v>
      </c>
      <c r="I472" s="11" t="str">
        <f>TEXT(SalesData[[#This Row],[Date]],"dddd")</f>
        <v>Tuesday</v>
      </c>
      <c r="J472" s="11" t="str">
        <f>TEXT(SalesData[[#This Row],[Date]],"mmm")</f>
        <v>Jun</v>
      </c>
      <c r="K472" s="20">
        <f>MONTH(SalesData[[#This Row],[Date]])</f>
        <v>6</v>
      </c>
    </row>
    <row r="473" spans="1:11" x14ac:dyDescent="0.3">
      <c r="A473" s="5">
        <v>45454</v>
      </c>
      <c r="B473" s="9" t="s">
        <v>11</v>
      </c>
      <c r="C473" s="9" t="s">
        <v>16</v>
      </c>
      <c r="D473" s="9" t="s">
        <v>25</v>
      </c>
      <c r="E473" s="7">
        <v>1</v>
      </c>
      <c r="F473" s="11">
        <v>2408.16</v>
      </c>
      <c r="G473" s="11">
        <v>2408.16</v>
      </c>
      <c r="H473" s="11">
        <v>265.70999999999998</v>
      </c>
      <c r="I473" s="11" t="str">
        <f>TEXT(SalesData[[#This Row],[Date]],"dddd")</f>
        <v>Tuesday</v>
      </c>
      <c r="J473" s="11" t="str">
        <f>TEXT(SalesData[[#This Row],[Date]],"mmm")</f>
        <v>Jun</v>
      </c>
      <c r="K473" s="20">
        <f>MONTH(SalesData[[#This Row],[Date]])</f>
        <v>6</v>
      </c>
    </row>
    <row r="474" spans="1:11" x14ac:dyDescent="0.3">
      <c r="A474" s="5">
        <v>45454</v>
      </c>
      <c r="B474" s="9" t="s">
        <v>10</v>
      </c>
      <c r="C474" s="9" t="s">
        <v>15</v>
      </c>
      <c r="D474" s="9" t="s">
        <v>23</v>
      </c>
      <c r="E474" s="7">
        <v>6</v>
      </c>
      <c r="F474" s="11">
        <v>672.77</v>
      </c>
      <c r="G474" s="11">
        <v>4036.62</v>
      </c>
      <c r="H474" s="11">
        <v>680.22</v>
      </c>
      <c r="I474" s="11" t="str">
        <f>TEXT(SalesData[[#This Row],[Date]],"dddd")</f>
        <v>Tuesday</v>
      </c>
      <c r="J474" s="11" t="str">
        <f>TEXT(SalesData[[#This Row],[Date]],"mmm")</f>
        <v>Jun</v>
      </c>
      <c r="K474" s="20">
        <f>MONTH(SalesData[[#This Row],[Date]])</f>
        <v>6</v>
      </c>
    </row>
    <row r="475" spans="1:11" x14ac:dyDescent="0.3">
      <c r="A475" s="5">
        <v>45455</v>
      </c>
      <c r="B475" s="9" t="s">
        <v>11</v>
      </c>
      <c r="C475" s="9" t="s">
        <v>15</v>
      </c>
      <c r="D475" s="9" t="s">
        <v>23</v>
      </c>
      <c r="E475" s="7">
        <v>10</v>
      </c>
      <c r="F475" s="11">
        <v>985.17</v>
      </c>
      <c r="G475" s="11">
        <v>9851.7000000000007</v>
      </c>
      <c r="H475" s="11">
        <v>1529.39</v>
      </c>
      <c r="I475" s="11" t="str">
        <f>TEXT(SalesData[[#This Row],[Date]],"dddd")</f>
        <v>Wednesday</v>
      </c>
      <c r="J475" s="11" t="str">
        <f>TEXT(SalesData[[#This Row],[Date]],"mmm")</f>
        <v>Jun</v>
      </c>
      <c r="K475" s="20">
        <f>MONTH(SalesData[[#This Row],[Date]])</f>
        <v>6</v>
      </c>
    </row>
    <row r="476" spans="1:11" x14ac:dyDescent="0.3">
      <c r="A476" s="5">
        <v>45455</v>
      </c>
      <c r="B476" s="9" t="s">
        <v>13</v>
      </c>
      <c r="C476" s="9" t="s">
        <v>16</v>
      </c>
      <c r="D476" s="9" t="s">
        <v>25</v>
      </c>
      <c r="E476" s="7">
        <v>9</v>
      </c>
      <c r="F476" s="11">
        <v>2020.96</v>
      </c>
      <c r="G476" s="11">
        <v>18188.64</v>
      </c>
      <c r="H476" s="11">
        <v>2487.64</v>
      </c>
      <c r="I476" s="11" t="str">
        <f>TEXT(SalesData[[#This Row],[Date]],"dddd")</f>
        <v>Wednesday</v>
      </c>
      <c r="J476" s="11" t="str">
        <f>TEXT(SalesData[[#This Row],[Date]],"mmm")</f>
        <v>Jun</v>
      </c>
      <c r="K476" s="20">
        <f>MONTH(SalesData[[#This Row],[Date]])</f>
        <v>6</v>
      </c>
    </row>
    <row r="477" spans="1:11" x14ac:dyDescent="0.3">
      <c r="A477" s="5">
        <v>45456</v>
      </c>
      <c r="B477" s="9" t="s">
        <v>13</v>
      </c>
      <c r="C477" s="9" t="s">
        <v>14</v>
      </c>
      <c r="D477" s="9" t="s">
        <v>20</v>
      </c>
      <c r="E477" s="7">
        <v>9</v>
      </c>
      <c r="F477" s="11">
        <v>1192.8499999999999</v>
      </c>
      <c r="G477" s="11">
        <v>10735.65</v>
      </c>
      <c r="H477" s="11">
        <v>2425.5700000000002</v>
      </c>
      <c r="I477" s="11" t="str">
        <f>TEXT(SalesData[[#This Row],[Date]],"dddd")</f>
        <v>Thursday</v>
      </c>
      <c r="J477" s="11" t="str">
        <f>TEXT(SalesData[[#This Row],[Date]],"mmm")</f>
        <v>Jun</v>
      </c>
      <c r="K477" s="20">
        <f>MONTH(SalesData[[#This Row],[Date]])</f>
        <v>6</v>
      </c>
    </row>
    <row r="478" spans="1:11" x14ac:dyDescent="0.3">
      <c r="A478" s="5">
        <v>45456</v>
      </c>
      <c r="B478" s="9" t="s">
        <v>13</v>
      </c>
      <c r="C478" s="9" t="s">
        <v>15</v>
      </c>
      <c r="D478" s="9" t="s">
        <v>22</v>
      </c>
      <c r="E478" s="7">
        <v>7</v>
      </c>
      <c r="F478" s="11">
        <v>2198.0100000000002</v>
      </c>
      <c r="G478" s="11">
        <v>15386.07</v>
      </c>
      <c r="H478" s="11">
        <v>3216.95</v>
      </c>
      <c r="I478" s="11" t="str">
        <f>TEXT(SalesData[[#This Row],[Date]],"dddd")</f>
        <v>Thursday</v>
      </c>
      <c r="J478" s="11" t="str">
        <f>TEXT(SalesData[[#This Row],[Date]],"mmm")</f>
        <v>Jun</v>
      </c>
      <c r="K478" s="20">
        <f>MONTH(SalesData[[#This Row],[Date]])</f>
        <v>6</v>
      </c>
    </row>
    <row r="479" spans="1:11" x14ac:dyDescent="0.3">
      <c r="A479" s="5">
        <v>45456</v>
      </c>
      <c r="B479" s="9" t="s">
        <v>12</v>
      </c>
      <c r="C479" s="9" t="s">
        <v>16</v>
      </c>
      <c r="D479" s="9" t="s">
        <v>25</v>
      </c>
      <c r="E479" s="7">
        <v>4</v>
      </c>
      <c r="F479" s="11">
        <v>1339.63</v>
      </c>
      <c r="G479" s="11">
        <v>5358.52</v>
      </c>
      <c r="H479" s="11">
        <v>1308.43</v>
      </c>
      <c r="I479" s="11" t="str">
        <f>TEXT(SalesData[[#This Row],[Date]],"dddd")</f>
        <v>Thursday</v>
      </c>
      <c r="J479" s="11" t="str">
        <f>TEXT(SalesData[[#This Row],[Date]],"mmm")</f>
        <v>Jun</v>
      </c>
      <c r="K479" s="20">
        <f>MONTH(SalesData[[#This Row],[Date]])</f>
        <v>6</v>
      </c>
    </row>
    <row r="480" spans="1:11" x14ac:dyDescent="0.3">
      <c r="A480" s="5">
        <v>45456</v>
      </c>
      <c r="B480" s="9" t="s">
        <v>9</v>
      </c>
      <c r="C480" s="9" t="s">
        <v>15</v>
      </c>
      <c r="D480" s="9" t="s">
        <v>22</v>
      </c>
      <c r="E480" s="7">
        <v>1</v>
      </c>
      <c r="F480" s="11">
        <v>2342.5500000000002</v>
      </c>
      <c r="G480" s="11">
        <v>2342.5500000000002</v>
      </c>
      <c r="H480" s="11">
        <v>549.54999999999995</v>
      </c>
      <c r="I480" s="11" t="str">
        <f>TEXT(SalesData[[#This Row],[Date]],"dddd")</f>
        <v>Thursday</v>
      </c>
      <c r="J480" s="11" t="str">
        <f>TEXT(SalesData[[#This Row],[Date]],"mmm")</f>
        <v>Jun</v>
      </c>
      <c r="K480" s="20">
        <f>MONTH(SalesData[[#This Row],[Date]])</f>
        <v>6</v>
      </c>
    </row>
    <row r="481" spans="1:11" x14ac:dyDescent="0.3">
      <c r="A481" s="5">
        <v>45457</v>
      </c>
      <c r="B481" s="9" t="s">
        <v>8</v>
      </c>
      <c r="C481" s="9" t="s">
        <v>15</v>
      </c>
      <c r="D481" s="9" t="s">
        <v>30</v>
      </c>
      <c r="E481" s="7">
        <v>2</v>
      </c>
      <c r="F481" s="11">
        <v>1661.54</v>
      </c>
      <c r="G481" s="11">
        <v>3323.08</v>
      </c>
      <c r="H481" s="11">
        <v>584.24</v>
      </c>
      <c r="I481" s="11" t="str">
        <f>TEXT(SalesData[[#This Row],[Date]],"dddd")</f>
        <v>Friday</v>
      </c>
      <c r="J481" s="11" t="str">
        <f>TEXT(SalesData[[#This Row],[Date]],"mmm")</f>
        <v>Jun</v>
      </c>
      <c r="K481" s="20">
        <f>MONTH(SalesData[[#This Row],[Date]])</f>
        <v>6</v>
      </c>
    </row>
    <row r="482" spans="1:11" x14ac:dyDescent="0.3">
      <c r="A482" s="5">
        <v>45457</v>
      </c>
      <c r="B482" s="9" t="s">
        <v>12</v>
      </c>
      <c r="C482" s="9" t="s">
        <v>17</v>
      </c>
      <c r="D482" s="9" t="s">
        <v>28</v>
      </c>
      <c r="E482" s="7">
        <v>10</v>
      </c>
      <c r="F482" s="11">
        <v>1635.64</v>
      </c>
      <c r="G482" s="11">
        <v>16356.4</v>
      </c>
      <c r="H482" s="11">
        <v>2702.85</v>
      </c>
      <c r="I482" s="11" t="str">
        <f>TEXT(SalesData[[#This Row],[Date]],"dddd")</f>
        <v>Friday</v>
      </c>
      <c r="J482" s="11" t="str">
        <f>TEXT(SalesData[[#This Row],[Date]],"mmm")</f>
        <v>Jun</v>
      </c>
      <c r="K482" s="20">
        <f>MONTH(SalesData[[#This Row],[Date]])</f>
        <v>6</v>
      </c>
    </row>
    <row r="483" spans="1:11" x14ac:dyDescent="0.3">
      <c r="A483" s="5">
        <v>45457</v>
      </c>
      <c r="B483" s="9" t="s">
        <v>11</v>
      </c>
      <c r="C483" s="9" t="s">
        <v>16</v>
      </c>
      <c r="D483" s="9" t="s">
        <v>26</v>
      </c>
      <c r="E483" s="7">
        <v>5</v>
      </c>
      <c r="F483" s="11">
        <v>2201.83</v>
      </c>
      <c r="G483" s="11">
        <v>11009.15</v>
      </c>
      <c r="H483" s="11">
        <v>2630.16</v>
      </c>
      <c r="I483" s="11" t="str">
        <f>TEXT(SalesData[[#This Row],[Date]],"dddd")</f>
        <v>Friday</v>
      </c>
      <c r="J483" s="11" t="str">
        <f>TEXT(SalesData[[#This Row],[Date]],"mmm")</f>
        <v>Jun</v>
      </c>
      <c r="K483" s="20">
        <f>MONTH(SalesData[[#This Row],[Date]])</f>
        <v>6</v>
      </c>
    </row>
    <row r="484" spans="1:11" x14ac:dyDescent="0.3">
      <c r="A484" s="5">
        <v>45457</v>
      </c>
      <c r="B484" s="9" t="s">
        <v>12</v>
      </c>
      <c r="C484" s="9" t="s">
        <v>15</v>
      </c>
      <c r="D484" s="9" t="s">
        <v>23</v>
      </c>
      <c r="E484" s="7">
        <v>8</v>
      </c>
      <c r="F484" s="11">
        <v>1043.9100000000001</v>
      </c>
      <c r="G484" s="11">
        <v>8351.2800000000007</v>
      </c>
      <c r="H484" s="11">
        <v>928.69</v>
      </c>
      <c r="I484" s="11" t="str">
        <f>TEXT(SalesData[[#This Row],[Date]],"dddd")</f>
        <v>Friday</v>
      </c>
      <c r="J484" s="11" t="str">
        <f>TEXT(SalesData[[#This Row],[Date]],"mmm")</f>
        <v>Jun</v>
      </c>
      <c r="K484" s="20">
        <f>MONTH(SalesData[[#This Row],[Date]])</f>
        <v>6</v>
      </c>
    </row>
    <row r="485" spans="1:11" x14ac:dyDescent="0.3">
      <c r="A485" s="5">
        <v>45458</v>
      </c>
      <c r="B485" s="9" t="s">
        <v>11</v>
      </c>
      <c r="C485" s="9" t="s">
        <v>14</v>
      </c>
      <c r="D485" s="9" t="s">
        <v>20</v>
      </c>
      <c r="E485" s="7">
        <v>2</v>
      </c>
      <c r="F485" s="11">
        <v>828.75</v>
      </c>
      <c r="G485" s="11">
        <v>1657.5</v>
      </c>
      <c r="H485" s="11">
        <v>281.62</v>
      </c>
      <c r="I485" s="11" t="str">
        <f>TEXT(SalesData[[#This Row],[Date]],"dddd")</f>
        <v>Saturday</v>
      </c>
      <c r="J485" s="11" t="str">
        <f>TEXT(SalesData[[#This Row],[Date]],"mmm")</f>
        <v>Jun</v>
      </c>
      <c r="K485" s="20">
        <f>MONTH(SalesData[[#This Row],[Date]])</f>
        <v>6</v>
      </c>
    </row>
    <row r="486" spans="1:11" x14ac:dyDescent="0.3">
      <c r="A486" s="5">
        <v>45458</v>
      </c>
      <c r="B486" s="9" t="s">
        <v>13</v>
      </c>
      <c r="C486" s="9" t="s">
        <v>14</v>
      </c>
      <c r="D486" s="9" t="s">
        <v>18</v>
      </c>
      <c r="E486" s="7">
        <v>4</v>
      </c>
      <c r="F486" s="11">
        <v>1403.83</v>
      </c>
      <c r="G486" s="11">
        <v>5615.32</v>
      </c>
      <c r="H486" s="11">
        <v>951.81</v>
      </c>
      <c r="I486" s="11" t="str">
        <f>TEXT(SalesData[[#This Row],[Date]],"dddd")</f>
        <v>Saturday</v>
      </c>
      <c r="J486" s="11" t="str">
        <f>TEXT(SalesData[[#This Row],[Date]],"mmm")</f>
        <v>Jun</v>
      </c>
      <c r="K486" s="20">
        <f>MONTH(SalesData[[#This Row],[Date]])</f>
        <v>6</v>
      </c>
    </row>
    <row r="487" spans="1:11" x14ac:dyDescent="0.3">
      <c r="A487" s="5">
        <v>45459</v>
      </c>
      <c r="B487" s="9" t="s">
        <v>13</v>
      </c>
      <c r="C487" s="9" t="s">
        <v>16</v>
      </c>
      <c r="D487" s="9" t="s">
        <v>25</v>
      </c>
      <c r="E487" s="7">
        <v>5</v>
      </c>
      <c r="F487" s="11">
        <v>2152.77</v>
      </c>
      <c r="G487" s="11">
        <v>10763.85</v>
      </c>
      <c r="H487" s="11">
        <v>2201.5500000000002</v>
      </c>
      <c r="I487" s="11" t="str">
        <f>TEXT(SalesData[[#This Row],[Date]],"dddd")</f>
        <v>Sunday</v>
      </c>
      <c r="J487" s="11" t="str">
        <f>TEXT(SalesData[[#This Row],[Date]],"mmm")</f>
        <v>Jun</v>
      </c>
      <c r="K487" s="20">
        <f>MONTH(SalesData[[#This Row],[Date]])</f>
        <v>6</v>
      </c>
    </row>
    <row r="488" spans="1:11" x14ac:dyDescent="0.3">
      <c r="A488" s="5">
        <v>45460</v>
      </c>
      <c r="B488" s="9" t="s">
        <v>11</v>
      </c>
      <c r="C488" s="9" t="s">
        <v>15</v>
      </c>
      <c r="D488" s="9" t="s">
        <v>24</v>
      </c>
      <c r="E488" s="7">
        <v>2</v>
      </c>
      <c r="F488" s="11">
        <v>1922.31</v>
      </c>
      <c r="G488" s="11">
        <v>3844.62</v>
      </c>
      <c r="H488" s="11">
        <v>942.93</v>
      </c>
      <c r="I488" s="11" t="str">
        <f>TEXT(SalesData[[#This Row],[Date]],"dddd")</f>
        <v>Monday</v>
      </c>
      <c r="J488" s="11" t="str">
        <f>TEXT(SalesData[[#This Row],[Date]],"mmm")</f>
        <v>Jun</v>
      </c>
      <c r="K488" s="20">
        <f>MONTH(SalesData[[#This Row],[Date]])</f>
        <v>6</v>
      </c>
    </row>
    <row r="489" spans="1:11" x14ac:dyDescent="0.3">
      <c r="A489" s="5">
        <v>45460</v>
      </c>
      <c r="B489" s="9" t="s">
        <v>11</v>
      </c>
      <c r="C489" s="9" t="s">
        <v>14</v>
      </c>
      <c r="D489" s="9" t="s">
        <v>18</v>
      </c>
      <c r="E489" s="7">
        <v>5</v>
      </c>
      <c r="F489" s="11">
        <v>2140.1799999999998</v>
      </c>
      <c r="G489" s="11">
        <v>10700.9</v>
      </c>
      <c r="H489" s="11">
        <v>1349.17</v>
      </c>
      <c r="I489" s="11" t="str">
        <f>TEXT(SalesData[[#This Row],[Date]],"dddd")</f>
        <v>Monday</v>
      </c>
      <c r="J489" s="11" t="str">
        <f>TEXT(SalesData[[#This Row],[Date]],"mmm")</f>
        <v>Jun</v>
      </c>
      <c r="K489" s="20">
        <f>MONTH(SalesData[[#This Row],[Date]])</f>
        <v>6</v>
      </c>
    </row>
    <row r="490" spans="1:11" x14ac:dyDescent="0.3">
      <c r="A490" s="5">
        <v>45461</v>
      </c>
      <c r="B490" s="9" t="s">
        <v>13</v>
      </c>
      <c r="C490" s="9" t="s">
        <v>16</v>
      </c>
      <c r="D490" s="9" t="s">
        <v>29</v>
      </c>
      <c r="E490" s="7">
        <v>8</v>
      </c>
      <c r="F490" s="11">
        <v>703.81</v>
      </c>
      <c r="G490" s="11">
        <v>5630.48</v>
      </c>
      <c r="H490" s="11">
        <v>1233.48</v>
      </c>
      <c r="I490" s="11" t="str">
        <f>TEXT(SalesData[[#This Row],[Date]],"dddd")</f>
        <v>Tuesday</v>
      </c>
      <c r="J490" s="11" t="str">
        <f>TEXT(SalesData[[#This Row],[Date]],"mmm")</f>
        <v>Jun</v>
      </c>
      <c r="K490" s="20">
        <f>MONTH(SalesData[[#This Row],[Date]])</f>
        <v>6</v>
      </c>
    </row>
    <row r="491" spans="1:11" x14ac:dyDescent="0.3">
      <c r="A491" s="5">
        <v>45461</v>
      </c>
      <c r="B491" s="9" t="s">
        <v>10</v>
      </c>
      <c r="C491" s="9" t="s">
        <v>14</v>
      </c>
      <c r="D491" s="9" t="s">
        <v>21</v>
      </c>
      <c r="E491" s="7">
        <v>4</v>
      </c>
      <c r="F491" s="11">
        <v>761.43</v>
      </c>
      <c r="G491" s="11">
        <v>3045.72</v>
      </c>
      <c r="H491" s="11">
        <v>680.87</v>
      </c>
      <c r="I491" s="11" t="str">
        <f>TEXT(SalesData[[#This Row],[Date]],"dddd")</f>
        <v>Tuesday</v>
      </c>
      <c r="J491" s="11" t="str">
        <f>TEXT(SalesData[[#This Row],[Date]],"mmm")</f>
        <v>Jun</v>
      </c>
      <c r="K491" s="20">
        <f>MONTH(SalesData[[#This Row],[Date]])</f>
        <v>6</v>
      </c>
    </row>
    <row r="492" spans="1:11" x14ac:dyDescent="0.3">
      <c r="A492" s="5">
        <v>45461</v>
      </c>
      <c r="B492" s="9" t="s">
        <v>8</v>
      </c>
      <c r="C492" s="9" t="s">
        <v>14</v>
      </c>
      <c r="D492" s="9" t="s">
        <v>18</v>
      </c>
      <c r="E492" s="7">
        <v>2</v>
      </c>
      <c r="F492" s="11">
        <v>543.6</v>
      </c>
      <c r="G492" s="11">
        <v>1087.2</v>
      </c>
      <c r="H492" s="11">
        <v>119.23</v>
      </c>
      <c r="I492" s="11" t="str">
        <f>TEXT(SalesData[[#This Row],[Date]],"dddd")</f>
        <v>Tuesday</v>
      </c>
      <c r="J492" s="11" t="str">
        <f>TEXT(SalesData[[#This Row],[Date]],"mmm")</f>
        <v>Jun</v>
      </c>
      <c r="K492" s="20">
        <f>MONTH(SalesData[[#This Row],[Date]])</f>
        <v>6</v>
      </c>
    </row>
    <row r="493" spans="1:11" x14ac:dyDescent="0.3">
      <c r="A493" s="5">
        <v>45461</v>
      </c>
      <c r="B493" s="9" t="s">
        <v>10</v>
      </c>
      <c r="C493" s="9" t="s">
        <v>17</v>
      </c>
      <c r="D493" s="9" t="s">
        <v>28</v>
      </c>
      <c r="E493" s="7">
        <v>2</v>
      </c>
      <c r="F493" s="11">
        <v>2310.16</v>
      </c>
      <c r="G493" s="11">
        <v>4620.32</v>
      </c>
      <c r="H493" s="11">
        <v>1036.82</v>
      </c>
      <c r="I493" s="11" t="str">
        <f>TEXT(SalesData[[#This Row],[Date]],"dddd")</f>
        <v>Tuesday</v>
      </c>
      <c r="J493" s="11" t="str">
        <f>TEXT(SalesData[[#This Row],[Date]],"mmm")</f>
        <v>Jun</v>
      </c>
      <c r="K493" s="20">
        <f>MONTH(SalesData[[#This Row],[Date]])</f>
        <v>6</v>
      </c>
    </row>
    <row r="494" spans="1:11" x14ac:dyDescent="0.3">
      <c r="A494" s="5">
        <v>45462</v>
      </c>
      <c r="B494" s="9" t="s">
        <v>8</v>
      </c>
      <c r="C494" s="9" t="s">
        <v>14</v>
      </c>
      <c r="D494" s="9" t="s">
        <v>19</v>
      </c>
      <c r="E494" s="7">
        <v>1</v>
      </c>
      <c r="F494" s="11">
        <v>835.98</v>
      </c>
      <c r="G494" s="11">
        <v>835.98</v>
      </c>
      <c r="H494" s="11">
        <v>155.56</v>
      </c>
      <c r="I494" s="11" t="str">
        <f>TEXT(SalesData[[#This Row],[Date]],"dddd")</f>
        <v>Wednesday</v>
      </c>
      <c r="J494" s="11" t="str">
        <f>TEXT(SalesData[[#This Row],[Date]],"mmm")</f>
        <v>Jun</v>
      </c>
      <c r="K494" s="20">
        <f>MONTH(SalesData[[#This Row],[Date]])</f>
        <v>6</v>
      </c>
    </row>
    <row r="495" spans="1:11" x14ac:dyDescent="0.3">
      <c r="A495" s="5">
        <v>45463</v>
      </c>
      <c r="B495" s="9" t="s">
        <v>12</v>
      </c>
      <c r="C495" s="9" t="s">
        <v>17</v>
      </c>
      <c r="D495" s="9" t="s">
        <v>28</v>
      </c>
      <c r="E495" s="7">
        <v>7</v>
      </c>
      <c r="F495" s="11">
        <v>1866.43</v>
      </c>
      <c r="G495" s="11">
        <v>13065.01</v>
      </c>
      <c r="H495" s="11">
        <v>1645.16</v>
      </c>
      <c r="I495" s="11" t="str">
        <f>TEXT(SalesData[[#This Row],[Date]],"dddd")</f>
        <v>Thursday</v>
      </c>
      <c r="J495" s="11" t="str">
        <f>TEXT(SalesData[[#This Row],[Date]],"mmm")</f>
        <v>Jun</v>
      </c>
      <c r="K495" s="20">
        <f>MONTH(SalesData[[#This Row],[Date]])</f>
        <v>6</v>
      </c>
    </row>
    <row r="496" spans="1:11" x14ac:dyDescent="0.3">
      <c r="A496" s="5">
        <v>45463</v>
      </c>
      <c r="B496" s="9" t="s">
        <v>9</v>
      </c>
      <c r="C496" s="9" t="s">
        <v>16</v>
      </c>
      <c r="D496" s="9" t="s">
        <v>26</v>
      </c>
      <c r="E496" s="7">
        <v>5</v>
      </c>
      <c r="F496" s="11">
        <v>1392.02</v>
      </c>
      <c r="G496" s="11">
        <v>6960.1</v>
      </c>
      <c r="H496" s="11">
        <v>851.18</v>
      </c>
      <c r="I496" s="11" t="str">
        <f>TEXT(SalesData[[#This Row],[Date]],"dddd")</f>
        <v>Thursday</v>
      </c>
      <c r="J496" s="11" t="str">
        <f>TEXT(SalesData[[#This Row],[Date]],"mmm")</f>
        <v>Jun</v>
      </c>
      <c r="K496" s="20">
        <f>MONTH(SalesData[[#This Row],[Date]])</f>
        <v>6</v>
      </c>
    </row>
    <row r="497" spans="1:11" x14ac:dyDescent="0.3">
      <c r="A497" s="5">
        <v>45463</v>
      </c>
      <c r="B497" s="9" t="s">
        <v>11</v>
      </c>
      <c r="C497" s="9" t="s">
        <v>16</v>
      </c>
      <c r="D497" s="9" t="s">
        <v>25</v>
      </c>
      <c r="E497" s="7">
        <v>5</v>
      </c>
      <c r="F497" s="11">
        <v>1497.78</v>
      </c>
      <c r="G497" s="11">
        <v>7488.9</v>
      </c>
      <c r="H497" s="11">
        <v>1740.55</v>
      </c>
      <c r="I497" s="11" t="str">
        <f>TEXT(SalesData[[#This Row],[Date]],"dddd")</f>
        <v>Thursday</v>
      </c>
      <c r="J497" s="11" t="str">
        <f>TEXT(SalesData[[#This Row],[Date]],"mmm")</f>
        <v>Jun</v>
      </c>
      <c r="K497" s="20">
        <f>MONTH(SalesData[[#This Row],[Date]])</f>
        <v>6</v>
      </c>
    </row>
    <row r="498" spans="1:11" x14ac:dyDescent="0.3">
      <c r="A498" s="5">
        <v>45463</v>
      </c>
      <c r="B498" s="9" t="s">
        <v>8</v>
      </c>
      <c r="C498" s="9" t="s">
        <v>14</v>
      </c>
      <c r="D498" s="9" t="s">
        <v>21</v>
      </c>
      <c r="E498" s="7">
        <v>5</v>
      </c>
      <c r="F498" s="11">
        <v>1266.03</v>
      </c>
      <c r="G498" s="11">
        <v>6330.15</v>
      </c>
      <c r="H498" s="11">
        <v>1031.0899999999999</v>
      </c>
      <c r="I498" s="11" t="str">
        <f>TEXT(SalesData[[#This Row],[Date]],"dddd")</f>
        <v>Thursday</v>
      </c>
      <c r="J498" s="11" t="str">
        <f>TEXT(SalesData[[#This Row],[Date]],"mmm")</f>
        <v>Jun</v>
      </c>
      <c r="K498" s="20">
        <f>MONTH(SalesData[[#This Row],[Date]])</f>
        <v>6</v>
      </c>
    </row>
    <row r="499" spans="1:11" x14ac:dyDescent="0.3">
      <c r="A499" s="5">
        <v>45464</v>
      </c>
      <c r="B499" s="9" t="s">
        <v>8</v>
      </c>
      <c r="C499" s="9" t="s">
        <v>16</v>
      </c>
      <c r="D499" s="9" t="s">
        <v>25</v>
      </c>
      <c r="E499" s="7">
        <v>9</v>
      </c>
      <c r="F499" s="11">
        <v>2089.69</v>
      </c>
      <c r="G499" s="11">
        <v>18807.21</v>
      </c>
      <c r="H499" s="11">
        <v>4671.91</v>
      </c>
      <c r="I499" s="11" t="str">
        <f>TEXT(SalesData[[#This Row],[Date]],"dddd")</f>
        <v>Friday</v>
      </c>
      <c r="J499" s="11" t="str">
        <f>TEXT(SalesData[[#This Row],[Date]],"mmm")</f>
        <v>Jun</v>
      </c>
      <c r="K499" s="20">
        <f>MONTH(SalesData[[#This Row],[Date]])</f>
        <v>6</v>
      </c>
    </row>
    <row r="500" spans="1:11" x14ac:dyDescent="0.3">
      <c r="A500" s="5">
        <v>45464</v>
      </c>
      <c r="B500" s="9" t="s">
        <v>9</v>
      </c>
      <c r="C500" s="9" t="s">
        <v>15</v>
      </c>
      <c r="D500" s="9" t="s">
        <v>30</v>
      </c>
      <c r="E500" s="7">
        <v>9</v>
      </c>
      <c r="F500" s="11">
        <v>2062.87</v>
      </c>
      <c r="G500" s="11">
        <v>18565.830000000002</v>
      </c>
      <c r="H500" s="11">
        <v>2814.67</v>
      </c>
      <c r="I500" s="11" t="str">
        <f>TEXT(SalesData[[#This Row],[Date]],"dddd")</f>
        <v>Friday</v>
      </c>
      <c r="J500" s="11" t="str">
        <f>TEXT(SalesData[[#This Row],[Date]],"mmm")</f>
        <v>Jun</v>
      </c>
      <c r="K500" s="20">
        <f>MONTH(SalesData[[#This Row],[Date]])</f>
        <v>6</v>
      </c>
    </row>
    <row r="501" spans="1:11" x14ac:dyDescent="0.3">
      <c r="A501" s="5">
        <v>45464</v>
      </c>
      <c r="B501" s="9" t="s">
        <v>12</v>
      </c>
      <c r="C501" s="9" t="s">
        <v>15</v>
      </c>
      <c r="D501" s="9" t="s">
        <v>30</v>
      </c>
      <c r="E501" s="7">
        <v>5</v>
      </c>
      <c r="F501" s="11">
        <v>859.63</v>
      </c>
      <c r="G501" s="11">
        <v>4298.1499999999996</v>
      </c>
      <c r="H501" s="11">
        <v>635.4</v>
      </c>
      <c r="I501" s="11" t="str">
        <f>TEXT(SalesData[[#This Row],[Date]],"dddd")</f>
        <v>Friday</v>
      </c>
      <c r="J501" s="11" t="str">
        <f>TEXT(SalesData[[#This Row],[Date]],"mmm")</f>
        <v>Jun</v>
      </c>
      <c r="K501" s="20">
        <f>MONTH(SalesData[[#This Row],[Date]])</f>
        <v>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5882-3C46-4A83-9415-B5EA58F11A43}">
  <dimension ref="A1:B6"/>
  <sheetViews>
    <sheetView workbookViewId="0"/>
  </sheetViews>
  <sheetFormatPr defaultRowHeight="14.4" x14ac:dyDescent="0.3"/>
  <cols>
    <col min="1" max="1" width="22.6640625" bestFit="1" customWidth="1"/>
    <col min="2" max="2" width="14.21875" bestFit="1" customWidth="1"/>
    <col min="3" max="3" width="13.88671875" bestFit="1" customWidth="1"/>
    <col min="4" max="4" width="16.109375" bestFit="1" customWidth="1"/>
    <col min="5" max="5" width="22.6640625" bestFit="1" customWidth="1"/>
    <col min="6" max="6" width="13.6640625" bestFit="1" customWidth="1"/>
  </cols>
  <sheetData>
    <row r="1" spans="1:2" x14ac:dyDescent="0.3">
      <c r="A1" s="12" t="s">
        <v>31</v>
      </c>
      <c r="B1" s="11">
        <f>SUM(SalesData[Total Sales (NGN)])</f>
        <v>3946443.7999999975</v>
      </c>
    </row>
    <row r="2" spans="1:2" x14ac:dyDescent="0.3">
      <c r="A2" t="s">
        <v>32</v>
      </c>
      <c r="B2" s="11">
        <f>SUM(SalesData[Profit (NGN)])</f>
        <v>685697.16999999981</v>
      </c>
    </row>
    <row r="3" spans="1:2" x14ac:dyDescent="0.3">
      <c r="A3" t="s">
        <v>33</v>
      </c>
      <c r="B3" s="7">
        <f>SUM(SalesData[Quantity Sold])</f>
        <v>2703</v>
      </c>
    </row>
    <row r="4" spans="1:2" x14ac:dyDescent="0.3">
      <c r="A4" t="s">
        <v>34</v>
      </c>
      <c r="B4">
        <f>COUNTA(SalesData[Date])</f>
        <v>500</v>
      </c>
    </row>
    <row r="5" spans="1:2" x14ac:dyDescent="0.3">
      <c r="A5" t="s">
        <v>35</v>
      </c>
      <c r="B5" s="11">
        <f>SUM(SalesData[Total Sales (NGN)])/COUNTA(SalesData[Date])</f>
        <v>7892.8875999999946</v>
      </c>
    </row>
    <row r="6" spans="1:2" x14ac:dyDescent="0.3">
      <c r="A6" t="s">
        <v>36</v>
      </c>
      <c r="B6" s="13">
        <f>SUM(SalesData[Profit (NGN)])/SUM(SalesData[Total Sales (NGN)])</f>
        <v>0.17375064862193154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4639-2FFB-4EBE-9394-05265C5FB4DF}">
  <dimension ref="A1:E55"/>
  <sheetViews>
    <sheetView topLeftCell="A35" workbookViewId="0">
      <selection activeCell="E56" sqref="E56"/>
    </sheetView>
  </sheetViews>
  <sheetFormatPr defaultRowHeight="14.4" x14ac:dyDescent="0.3"/>
  <cols>
    <col min="1" max="1" width="17.77734375" bestFit="1" customWidth="1"/>
    <col min="2" max="2" width="22.33203125" bestFit="1" customWidth="1"/>
    <col min="3" max="3" width="18" bestFit="1" customWidth="1"/>
    <col min="4" max="4" width="19.109375" bestFit="1" customWidth="1"/>
    <col min="5" max="5" width="12.6640625" bestFit="1" customWidth="1"/>
    <col min="6" max="220" width="9.21875" bestFit="1" customWidth="1"/>
    <col min="221" max="500" width="10.77734375" bestFit="1" customWidth="1"/>
    <col min="501" max="501" width="12.109375" bestFit="1" customWidth="1"/>
    <col min="502" max="502" width="22.33203125" bestFit="1" customWidth="1"/>
    <col min="503" max="503" width="19.109375" bestFit="1" customWidth="1"/>
    <col min="504" max="504" width="22.33203125" bestFit="1" customWidth="1"/>
    <col min="505" max="505" width="19.109375" bestFit="1" customWidth="1"/>
    <col min="506" max="506" width="22.33203125" bestFit="1" customWidth="1"/>
    <col min="507" max="507" width="19.109375" bestFit="1" customWidth="1"/>
    <col min="508" max="508" width="22.33203125" bestFit="1" customWidth="1"/>
    <col min="509" max="509" width="19.109375" bestFit="1" customWidth="1"/>
    <col min="510" max="510" width="22.33203125" bestFit="1" customWidth="1"/>
    <col min="511" max="511" width="19.109375" bestFit="1" customWidth="1"/>
    <col min="512" max="512" width="22.33203125" bestFit="1" customWidth="1"/>
    <col min="513" max="513" width="19.109375" bestFit="1" customWidth="1"/>
    <col min="514" max="514" width="22.33203125" bestFit="1" customWidth="1"/>
    <col min="515" max="515" width="19.109375" bestFit="1" customWidth="1"/>
    <col min="516" max="516" width="22.33203125" bestFit="1" customWidth="1"/>
    <col min="517" max="517" width="19.109375" bestFit="1" customWidth="1"/>
    <col min="518" max="518" width="22.33203125" bestFit="1" customWidth="1"/>
    <col min="519" max="519" width="19.109375" bestFit="1" customWidth="1"/>
    <col min="520" max="520" width="22.33203125" bestFit="1" customWidth="1"/>
    <col min="521" max="521" width="19.109375" bestFit="1" customWidth="1"/>
    <col min="522" max="522" width="22.33203125" bestFit="1" customWidth="1"/>
    <col min="523" max="523" width="19.109375" bestFit="1" customWidth="1"/>
    <col min="524" max="524" width="22.33203125" bestFit="1" customWidth="1"/>
    <col min="525" max="525" width="19.109375" bestFit="1" customWidth="1"/>
    <col min="526" max="526" width="22.33203125" bestFit="1" customWidth="1"/>
    <col min="527" max="527" width="19.109375" bestFit="1" customWidth="1"/>
    <col min="528" max="528" width="22.33203125" bestFit="1" customWidth="1"/>
    <col min="529" max="529" width="19.109375" bestFit="1" customWidth="1"/>
    <col min="530" max="530" width="22.33203125" bestFit="1" customWidth="1"/>
    <col min="531" max="531" width="19.109375" bestFit="1" customWidth="1"/>
    <col min="532" max="532" width="22.33203125" bestFit="1" customWidth="1"/>
    <col min="533" max="533" width="19.109375" bestFit="1" customWidth="1"/>
    <col min="534" max="534" width="22.33203125" bestFit="1" customWidth="1"/>
    <col min="535" max="535" width="19.109375" bestFit="1" customWidth="1"/>
    <col min="536" max="536" width="22.33203125" bestFit="1" customWidth="1"/>
    <col min="537" max="537" width="19.109375" bestFit="1" customWidth="1"/>
    <col min="538" max="538" width="22.33203125" bestFit="1" customWidth="1"/>
    <col min="539" max="539" width="19.109375" bestFit="1" customWidth="1"/>
    <col min="540" max="540" width="22.33203125" bestFit="1" customWidth="1"/>
    <col min="541" max="541" width="19.109375" bestFit="1" customWidth="1"/>
    <col min="542" max="542" width="22.33203125" bestFit="1" customWidth="1"/>
    <col min="543" max="543" width="19.109375" bestFit="1" customWidth="1"/>
    <col min="544" max="544" width="22.33203125" bestFit="1" customWidth="1"/>
    <col min="545" max="545" width="19.109375" bestFit="1" customWidth="1"/>
    <col min="546" max="546" width="22.33203125" bestFit="1" customWidth="1"/>
    <col min="547" max="547" width="19.109375" bestFit="1" customWidth="1"/>
    <col min="548" max="548" width="22.33203125" bestFit="1" customWidth="1"/>
    <col min="549" max="549" width="19.109375" bestFit="1" customWidth="1"/>
    <col min="550" max="550" width="22.33203125" bestFit="1" customWidth="1"/>
    <col min="551" max="551" width="19.109375" bestFit="1" customWidth="1"/>
    <col min="552" max="552" width="22.33203125" bestFit="1" customWidth="1"/>
    <col min="553" max="553" width="19.109375" bestFit="1" customWidth="1"/>
    <col min="554" max="554" width="22.33203125" bestFit="1" customWidth="1"/>
    <col min="555" max="555" width="19.109375" bestFit="1" customWidth="1"/>
    <col min="556" max="556" width="22.33203125" bestFit="1" customWidth="1"/>
    <col min="557" max="557" width="19.109375" bestFit="1" customWidth="1"/>
    <col min="558" max="558" width="22.33203125" bestFit="1" customWidth="1"/>
    <col min="559" max="559" width="19.109375" bestFit="1" customWidth="1"/>
    <col min="560" max="560" width="22.33203125" bestFit="1" customWidth="1"/>
    <col min="561" max="561" width="19.109375" bestFit="1" customWidth="1"/>
    <col min="562" max="562" width="22.33203125" bestFit="1" customWidth="1"/>
    <col min="563" max="563" width="19.109375" bestFit="1" customWidth="1"/>
    <col min="564" max="564" width="22.33203125" bestFit="1" customWidth="1"/>
    <col min="565" max="565" width="19.109375" bestFit="1" customWidth="1"/>
    <col min="566" max="566" width="22.33203125" bestFit="1" customWidth="1"/>
    <col min="567" max="567" width="19.109375" bestFit="1" customWidth="1"/>
    <col min="568" max="568" width="22.33203125" bestFit="1" customWidth="1"/>
    <col min="569" max="569" width="19.109375" bestFit="1" customWidth="1"/>
    <col min="570" max="570" width="22.33203125" bestFit="1" customWidth="1"/>
    <col min="571" max="571" width="19.109375" bestFit="1" customWidth="1"/>
    <col min="572" max="572" width="22.33203125" bestFit="1" customWidth="1"/>
    <col min="573" max="573" width="19.109375" bestFit="1" customWidth="1"/>
    <col min="574" max="574" width="22.33203125" bestFit="1" customWidth="1"/>
    <col min="575" max="575" width="19.109375" bestFit="1" customWidth="1"/>
    <col min="576" max="576" width="22.33203125" bestFit="1" customWidth="1"/>
    <col min="577" max="577" width="19.109375" bestFit="1" customWidth="1"/>
    <col min="578" max="578" width="22.33203125" bestFit="1" customWidth="1"/>
    <col min="579" max="579" width="19.109375" bestFit="1" customWidth="1"/>
    <col min="580" max="580" width="22.33203125" bestFit="1" customWidth="1"/>
    <col min="581" max="581" width="19.109375" bestFit="1" customWidth="1"/>
    <col min="582" max="582" width="22.33203125" bestFit="1" customWidth="1"/>
    <col min="583" max="583" width="19.109375" bestFit="1" customWidth="1"/>
    <col min="584" max="584" width="22.33203125" bestFit="1" customWidth="1"/>
    <col min="585" max="585" width="19.109375" bestFit="1" customWidth="1"/>
    <col min="586" max="586" width="22.33203125" bestFit="1" customWidth="1"/>
    <col min="587" max="587" width="19.109375" bestFit="1" customWidth="1"/>
    <col min="588" max="588" width="22.33203125" bestFit="1" customWidth="1"/>
    <col min="589" max="589" width="19.109375" bestFit="1" customWidth="1"/>
    <col min="590" max="590" width="22.33203125" bestFit="1" customWidth="1"/>
    <col min="591" max="591" width="19.109375" bestFit="1" customWidth="1"/>
    <col min="592" max="592" width="22.33203125" bestFit="1" customWidth="1"/>
    <col min="593" max="593" width="19.109375" bestFit="1" customWidth="1"/>
    <col min="594" max="594" width="22.33203125" bestFit="1" customWidth="1"/>
    <col min="595" max="595" width="19.109375" bestFit="1" customWidth="1"/>
    <col min="596" max="596" width="22.33203125" bestFit="1" customWidth="1"/>
    <col min="597" max="597" width="19.109375" bestFit="1" customWidth="1"/>
    <col min="598" max="598" width="22.33203125" bestFit="1" customWidth="1"/>
    <col min="599" max="599" width="19.109375" bestFit="1" customWidth="1"/>
    <col min="600" max="600" width="22.33203125" bestFit="1" customWidth="1"/>
    <col min="601" max="601" width="19.109375" bestFit="1" customWidth="1"/>
    <col min="602" max="602" width="22.33203125" bestFit="1" customWidth="1"/>
    <col min="603" max="603" width="19.109375" bestFit="1" customWidth="1"/>
    <col min="604" max="604" width="22.33203125" bestFit="1" customWidth="1"/>
    <col min="605" max="605" width="19.109375" bestFit="1" customWidth="1"/>
    <col min="606" max="606" width="22.33203125" bestFit="1" customWidth="1"/>
    <col min="607" max="607" width="19.109375" bestFit="1" customWidth="1"/>
    <col min="608" max="608" width="22.33203125" bestFit="1" customWidth="1"/>
    <col min="609" max="609" width="19.109375" bestFit="1" customWidth="1"/>
    <col min="610" max="610" width="22.33203125" bestFit="1" customWidth="1"/>
    <col min="611" max="611" width="19.109375" bestFit="1" customWidth="1"/>
    <col min="612" max="612" width="22.33203125" bestFit="1" customWidth="1"/>
    <col min="613" max="613" width="19.109375" bestFit="1" customWidth="1"/>
    <col min="614" max="614" width="22.33203125" bestFit="1" customWidth="1"/>
    <col min="615" max="615" width="19.109375" bestFit="1" customWidth="1"/>
    <col min="616" max="616" width="22.33203125" bestFit="1" customWidth="1"/>
    <col min="617" max="617" width="19.109375" bestFit="1" customWidth="1"/>
    <col min="618" max="618" width="22.33203125" bestFit="1" customWidth="1"/>
    <col min="619" max="619" width="19.109375" bestFit="1" customWidth="1"/>
    <col min="620" max="620" width="22.33203125" bestFit="1" customWidth="1"/>
    <col min="621" max="621" width="19.109375" bestFit="1" customWidth="1"/>
    <col min="622" max="622" width="22.33203125" bestFit="1" customWidth="1"/>
    <col min="623" max="623" width="19.109375" bestFit="1" customWidth="1"/>
    <col min="624" max="624" width="22.33203125" bestFit="1" customWidth="1"/>
    <col min="625" max="625" width="19.109375" bestFit="1" customWidth="1"/>
    <col min="626" max="626" width="22.33203125" bestFit="1" customWidth="1"/>
    <col min="627" max="627" width="19.109375" bestFit="1" customWidth="1"/>
    <col min="628" max="628" width="22.33203125" bestFit="1" customWidth="1"/>
    <col min="629" max="629" width="19.109375" bestFit="1" customWidth="1"/>
    <col min="630" max="630" width="22.33203125" bestFit="1" customWidth="1"/>
    <col min="631" max="631" width="19.109375" bestFit="1" customWidth="1"/>
    <col min="632" max="632" width="22.33203125" bestFit="1" customWidth="1"/>
    <col min="633" max="633" width="19.109375" bestFit="1" customWidth="1"/>
    <col min="634" max="634" width="22.33203125" bestFit="1" customWidth="1"/>
    <col min="635" max="635" width="19.109375" bestFit="1" customWidth="1"/>
    <col min="636" max="636" width="22.33203125" bestFit="1" customWidth="1"/>
    <col min="637" max="637" width="19.109375" bestFit="1" customWidth="1"/>
    <col min="638" max="638" width="22.33203125" bestFit="1" customWidth="1"/>
    <col min="639" max="639" width="19.109375" bestFit="1" customWidth="1"/>
    <col min="640" max="640" width="22.33203125" bestFit="1" customWidth="1"/>
    <col min="641" max="641" width="19.109375" bestFit="1" customWidth="1"/>
    <col min="642" max="642" width="22.33203125" bestFit="1" customWidth="1"/>
    <col min="643" max="643" width="19.109375" bestFit="1" customWidth="1"/>
    <col min="644" max="644" width="22.33203125" bestFit="1" customWidth="1"/>
    <col min="645" max="645" width="19.109375" bestFit="1" customWidth="1"/>
    <col min="646" max="646" width="22.33203125" bestFit="1" customWidth="1"/>
    <col min="647" max="647" width="19.109375" bestFit="1" customWidth="1"/>
    <col min="648" max="648" width="22.33203125" bestFit="1" customWidth="1"/>
    <col min="649" max="649" width="19.109375" bestFit="1" customWidth="1"/>
    <col min="650" max="650" width="22.33203125" bestFit="1" customWidth="1"/>
    <col min="651" max="651" width="19.109375" bestFit="1" customWidth="1"/>
    <col min="652" max="652" width="22.33203125" bestFit="1" customWidth="1"/>
    <col min="653" max="653" width="19.109375" bestFit="1" customWidth="1"/>
    <col min="654" max="654" width="22.33203125" bestFit="1" customWidth="1"/>
    <col min="655" max="655" width="19.109375" bestFit="1" customWidth="1"/>
    <col min="656" max="656" width="22.33203125" bestFit="1" customWidth="1"/>
    <col min="657" max="657" width="19.109375" bestFit="1" customWidth="1"/>
    <col min="658" max="658" width="22.33203125" bestFit="1" customWidth="1"/>
    <col min="659" max="659" width="19.109375" bestFit="1" customWidth="1"/>
    <col min="660" max="660" width="22.33203125" bestFit="1" customWidth="1"/>
    <col min="661" max="661" width="19.109375" bestFit="1" customWidth="1"/>
    <col min="662" max="662" width="22.33203125" bestFit="1" customWidth="1"/>
    <col min="663" max="663" width="19.109375" bestFit="1" customWidth="1"/>
    <col min="664" max="664" width="22.33203125" bestFit="1" customWidth="1"/>
    <col min="665" max="665" width="19.109375" bestFit="1" customWidth="1"/>
    <col min="666" max="666" width="22.33203125" bestFit="1" customWidth="1"/>
    <col min="667" max="667" width="19.109375" bestFit="1" customWidth="1"/>
    <col min="668" max="668" width="22.33203125" bestFit="1" customWidth="1"/>
    <col min="669" max="669" width="19.109375" bestFit="1" customWidth="1"/>
    <col min="670" max="670" width="22.33203125" bestFit="1" customWidth="1"/>
    <col min="671" max="671" width="19.109375" bestFit="1" customWidth="1"/>
    <col min="672" max="672" width="22.33203125" bestFit="1" customWidth="1"/>
    <col min="673" max="673" width="19.109375" bestFit="1" customWidth="1"/>
    <col min="674" max="674" width="22.33203125" bestFit="1" customWidth="1"/>
    <col min="675" max="675" width="19.109375" bestFit="1" customWidth="1"/>
    <col min="676" max="676" width="22.33203125" bestFit="1" customWidth="1"/>
    <col min="677" max="677" width="19.109375" bestFit="1" customWidth="1"/>
    <col min="678" max="678" width="22.33203125" bestFit="1" customWidth="1"/>
    <col min="679" max="679" width="19.109375" bestFit="1" customWidth="1"/>
    <col min="680" max="680" width="22.33203125" bestFit="1" customWidth="1"/>
    <col min="681" max="681" width="19.109375" bestFit="1" customWidth="1"/>
    <col min="682" max="682" width="22.33203125" bestFit="1" customWidth="1"/>
    <col min="683" max="683" width="19.109375" bestFit="1" customWidth="1"/>
    <col min="684" max="684" width="22.33203125" bestFit="1" customWidth="1"/>
    <col min="685" max="685" width="19.109375" bestFit="1" customWidth="1"/>
    <col min="686" max="686" width="22.33203125" bestFit="1" customWidth="1"/>
    <col min="687" max="687" width="19.109375" bestFit="1" customWidth="1"/>
    <col min="688" max="688" width="22.33203125" bestFit="1" customWidth="1"/>
    <col min="689" max="689" width="19.109375" bestFit="1" customWidth="1"/>
    <col min="690" max="690" width="22.33203125" bestFit="1" customWidth="1"/>
    <col min="691" max="691" width="19.109375" bestFit="1" customWidth="1"/>
    <col min="692" max="692" width="22.33203125" bestFit="1" customWidth="1"/>
    <col min="693" max="693" width="19.109375" bestFit="1" customWidth="1"/>
    <col min="694" max="694" width="22.33203125" bestFit="1" customWidth="1"/>
    <col min="695" max="695" width="19.109375" bestFit="1" customWidth="1"/>
    <col min="696" max="696" width="22.33203125" bestFit="1" customWidth="1"/>
    <col min="697" max="697" width="19.109375" bestFit="1" customWidth="1"/>
    <col min="698" max="698" width="22.33203125" bestFit="1" customWidth="1"/>
    <col min="699" max="699" width="19.109375" bestFit="1" customWidth="1"/>
    <col min="700" max="700" width="22.33203125" bestFit="1" customWidth="1"/>
    <col min="701" max="701" width="19.109375" bestFit="1" customWidth="1"/>
    <col min="702" max="702" width="22.33203125" bestFit="1" customWidth="1"/>
    <col min="703" max="703" width="19.109375" bestFit="1" customWidth="1"/>
    <col min="704" max="704" width="22.33203125" bestFit="1" customWidth="1"/>
    <col min="705" max="705" width="19.109375" bestFit="1" customWidth="1"/>
    <col min="706" max="706" width="22.33203125" bestFit="1" customWidth="1"/>
    <col min="707" max="707" width="19.109375" bestFit="1" customWidth="1"/>
    <col min="708" max="708" width="22.33203125" bestFit="1" customWidth="1"/>
    <col min="709" max="709" width="19.109375" bestFit="1" customWidth="1"/>
    <col min="710" max="710" width="22.33203125" bestFit="1" customWidth="1"/>
    <col min="711" max="711" width="19.109375" bestFit="1" customWidth="1"/>
    <col min="712" max="712" width="22.33203125" bestFit="1" customWidth="1"/>
    <col min="713" max="713" width="19.109375" bestFit="1" customWidth="1"/>
    <col min="714" max="714" width="22.33203125" bestFit="1" customWidth="1"/>
    <col min="715" max="715" width="19.109375" bestFit="1" customWidth="1"/>
    <col min="716" max="716" width="22.33203125" bestFit="1" customWidth="1"/>
    <col min="717" max="717" width="19.109375" bestFit="1" customWidth="1"/>
    <col min="718" max="718" width="22.33203125" bestFit="1" customWidth="1"/>
    <col min="719" max="719" width="19.109375" bestFit="1" customWidth="1"/>
    <col min="720" max="720" width="22.33203125" bestFit="1" customWidth="1"/>
    <col min="721" max="721" width="19.109375" bestFit="1" customWidth="1"/>
    <col min="722" max="722" width="22.33203125" bestFit="1" customWidth="1"/>
    <col min="723" max="723" width="19.109375" bestFit="1" customWidth="1"/>
    <col min="724" max="724" width="22.33203125" bestFit="1" customWidth="1"/>
    <col min="725" max="725" width="19.109375" bestFit="1" customWidth="1"/>
    <col min="726" max="726" width="22.33203125" bestFit="1" customWidth="1"/>
    <col min="727" max="727" width="19.109375" bestFit="1" customWidth="1"/>
    <col min="728" max="728" width="22.33203125" bestFit="1" customWidth="1"/>
    <col min="729" max="729" width="19.109375" bestFit="1" customWidth="1"/>
    <col min="730" max="730" width="22.33203125" bestFit="1" customWidth="1"/>
    <col min="731" max="731" width="19.109375" bestFit="1" customWidth="1"/>
    <col min="732" max="732" width="22.33203125" bestFit="1" customWidth="1"/>
    <col min="733" max="733" width="19.109375" bestFit="1" customWidth="1"/>
    <col min="734" max="734" width="22.33203125" bestFit="1" customWidth="1"/>
    <col min="735" max="735" width="19.109375" bestFit="1" customWidth="1"/>
    <col min="736" max="736" width="22.33203125" bestFit="1" customWidth="1"/>
    <col min="737" max="737" width="19.109375" bestFit="1" customWidth="1"/>
    <col min="738" max="738" width="22.33203125" bestFit="1" customWidth="1"/>
    <col min="739" max="739" width="19.109375" bestFit="1" customWidth="1"/>
    <col min="740" max="740" width="22.33203125" bestFit="1" customWidth="1"/>
    <col min="741" max="741" width="19.109375" bestFit="1" customWidth="1"/>
    <col min="742" max="742" width="22.33203125" bestFit="1" customWidth="1"/>
    <col min="743" max="743" width="19.109375" bestFit="1" customWidth="1"/>
    <col min="744" max="744" width="22.33203125" bestFit="1" customWidth="1"/>
    <col min="745" max="745" width="19.109375" bestFit="1" customWidth="1"/>
    <col min="746" max="746" width="22.33203125" bestFit="1" customWidth="1"/>
    <col min="747" max="747" width="19.109375" bestFit="1" customWidth="1"/>
    <col min="748" max="748" width="22.33203125" bestFit="1" customWidth="1"/>
    <col min="749" max="749" width="19.109375" bestFit="1" customWidth="1"/>
    <col min="750" max="750" width="22.33203125" bestFit="1" customWidth="1"/>
    <col min="751" max="751" width="19.109375" bestFit="1" customWidth="1"/>
    <col min="752" max="752" width="22.33203125" bestFit="1" customWidth="1"/>
    <col min="753" max="753" width="19.109375" bestFit="1" customWidth="1"/>
    <col min="754" max="754" width="22.33203125" bestFit="1" customWidth="1"/>
    <col min="755" max="755" width="19.109375" bestFit="1" customWidth="1"/>
    <col min="756" max="756" width="22.33203125" bestFit="1" customWidth="1"/>
    <col min="757" max="757" width="19.109375" bestFit="1" customWidth="1"/>
    <col min="758" max="758" width="22.33203125" bestFit="1" customWidth="1"/>
    <col min="759" max="759" width="19.109375" bestFit="1" customWidth="1"/>
    <col min="760" max="760" width="22.33203125" bestFit="1" customWidth="1"/>
    <col min="761" max="761" width="19.109375" bestFit="1" customWidth="1"/>
    <col min="762" max="762" width="22.33203125" bestFit="1" customWidth="1"/>
    <col min="763" max="763" width="19.109375" bestFit="1" customWidth="1"/>
    <col min="764" max="764" width="22.33203125" bestFit="1" customWidth="1"/>
    <col min="765" max="765" width="19.109375" bestFit="1" customWidth="1"/>
    <col min="766" max="766" width="22.33203125" bestFit="1" customWidth="1"/>
    <col min="767" max="767" width="19.109375" bestFit="1" customWidth="1"/>
    <col min="768" max="768" width="22.33203125" bestFit="1" customWidth="1"/>
    <col min="769" max="769" width="19.109375" bestFit="1" customWidth="1"/>
    <col min="770" max="770" width="22.33203125" bestFit="1" customWidth="1"/>
    <col min="771" max="771" width="19.109375" bestFit="1" customWidth="1"/>
    <col min="772" max="772" width="22.33203125" bestFit="1" customWidth="1"/>
    <col min="773" max="773" width="19.109375" bestFit="1" customWidth="1"/>
    <col min="774" max="774" width="22.33203125" bestFit="1" customWidth="1"/>
    <col min="775" max="775" width="19.109375" bestFit="1" customWidth="1"/>
    <col min="776" max="776" width="22.33203125" bestFit="1" customWidth="1"/>
    <col min="777" max="777" width="19.109375" bestFit="1" customWidth="1"/>
    <col min="778" max="778" width="22.33203125" bestFit="1" customWidth="1"/>
    <col min="779" max="779" width="19.109375" bestFit="1" customWidth="1"/>
    <col min="780" max="780" width="22.33203125" bestFit="1" customWidth="1"/>
    <col min="781" max="781" width="19.109375" bestFit="1" customWidth="1"/>
    <col min="782" max="782" width="22.33203125" bestFit="1" customWidth="1"/>
    <col min="783" max="783" width="19.109375" bestFit="1" customWidth="1"/>
    <col min="784" max="784" width="22.33203125" bestFit="1" customWidth="1"/>
    <col min="785" max="785" width="19.109375" bestFit="1" customWidth="1"/>
    <col min="786" max="786" width="22.33203125" bestFit="1" customWidth="1"/>
    <col min="787" max="787" width="19.109375" bestFit="1" customWidth="1"/>
    <col min="788" max="788" width="22.33203125" bestFit="1" customWidth="1"/>
    <col min="789" max="789" width="19.109375" bestFit="1" customWidth="1"/>
    <col min="790" max="790" width="22.33203125" bestFit="1" customWidth="1"/>
    <col min="791" max="791" width="19.109375" bestFit="1" customWidth="1"/>
    <col min="792" max="792" width="22.33203125" bestFit="1" customWidth="1"/>
    <col min="793" max="793" width="19.109375" bestFit="1" customWidth="1"/>
    <col min="794" max="794" width="22.33203125" bestFit="1" customWidth="1"/>
    <col min="795" max="795" width="19.109375" bestFit="1" customWidth="1"/>
    <col min="796" max="796" width="22.33203125" bestFit="1" customWidth="1"/>
    <col min="797" max="797" width="19.109375" bestFit="1" customWidth="1"/>
    <col min="798" max="798" width="22.33203125" bestFit="1" customWidth="1"/>
    <col min="799" max="799" width="19.109375" bestFit="1" customWidth="1"/>
    <col min="800" max="800" width="22.33203125" bestFit="1" customWidth="1"/>
    <col min="801" max="801" width="19.109375" bestFit="1" customWidth="1"/>
    <col min="802" max="802" width="22.33203125" bestFit="1" customWidth="1"/>
    <col min="803" max="803" width="19.109375" bestFit="1" customWidth="1"/>
    <col min="804" max="804" width="22.33203125" bestFit="1" customWidth="1"/>
    <col min="805" max="805" width="19.109375" bestFit="1" customWidth="1"/>
    <col min="806" max="806" width="22.33203125" bestFit="1" customWidth="1"/>
    <col min="807" max="807" width="19.109375" bestFit="1" customWidth="1"/>
    <col min="808" max="808" width="22.33203125" bestFit="1" customWidth="1"/>
    <col min="809" max="809" width="19.109375" bestFit="1" customWidth="1"/>
    <col min="810" max="810" width="22.33203125" bestFit="1" customWidth="1"/>
    <col min="811" max="811" width="19.109375" bestFit="1" customWidth="1"/>
    <col min="812" max="812" width="22.33203125" bestFit="1" customWidth="1"/>
    <col min="813" max="813" width="19.109375" bestFit="1" customWidth="1"/>
    <col min="814" max="814" width="22.33203125" bestFit="1" customWidth="1"/>
    <col min="815" max="815" width="19.109375" bestFit="1" customWidth="1"/>
    <col min="816" max="816" width="22.33203125" bestFit="1" customWidth="1"/>
    <col min="817" max="817" width="19.109375" bestFit="1" customWidth="1"/>
    <col min="818" max="818" width="22.33203125" bestFit="1" customWidth="1"/>
    <col min="819" max="819" width="19.109375" bestFit="1" customWidth="1"/>
    <col min="820" max="820" width="22.33203125" bestFit="1" customWidth="1"/>
    <col min="821" max="821" width="19.109375" bestFit="1" customWidth="1"/>
    <col min="822" max="822" width="22.33203125" bestFit="1" customWidth="1"/>
    <col min="823" max="823" width="19.109375" bestFit="1" customWidth="1"/>
    <col min="824" max="824" width="22.33203125" bestFit="1" customWidth="1"/>
    <col min="825" max="825" width="19.109375" bestFit="1" customWidth="1"/>
    <col min="826" max="826" width="22.33203125" bestFit="1" customWidth="1"/>
    <col min="827" max="827" width="19.109375" bestFit="1" customWidth="1"/>
    <col min="828" max="828" width="22.33203125" bestFit="1" customWidth="1"/>
    <col min="829" max="829" width="19.109375" bestFit="1" customWidth="1"/>
    <col min="830" max="830" width="22.33203125" bestFit="1" customWidth="1"/>
    <col min="831" max="831" width="19.109375" bestFit="1" customWidth="1"/>
    <col min="832" max="832" width="22.33203125" bestFit="1" customWidth="1"/>
    <col min="833" max="833" width="19.109375" bestFit="1" customWidth="1"/>
    <col min="834" max="834" width="22.33203125" bestFit="1" customWidth="1"/>
    <col min="835" max="835" width="19.109375" bestFit="1" customWidth="1"/>
    <col min="836" max="836" width="22.33203125" bestFit="1" customWidth="1"/>
    <col min="837" max="837" width="19.109375" bestFit="1" customWidth="1"/>
    <col min="838" max="838" width="22.33203125" bestFit="1" customWidth="1"/>
    <col min="839" max="839" width="19.109375" bestFit="1" customWidth="1"/>
    <col min="840" max="840" width="22.33203125" bestFit="1" customWidth="1"/>
    <col min="841" max="841" width="19.109375" bestFit="1" customWidth="1"/>
    <col min="842" max="842" width="22.33203125" bestFit="1" customWidth="1"/>
    <col min="843" max="843" width="19.109375" bestFit="1" customWidth="1"/>
    <col min="844" max="844" width="22.33203125" bestFit="1" customWidth="1"/>
    <col min="845" max="845" width="19.109375" bestFit="1" customWidth="1"/>
    <col min="846" max="846" width="22.33203125" bestFit="1" customWidth="1"/>
    <col min="847" max="847" width="19.109375" bestFit="1" customWidth="1"/>
    <col min="848" max="848" width="22.33203125" bestFit="1" customWidth="1"/>
    <col min="849" max="849" width="19.109375" bestFit="1" customWidth="1"/>
    <col min="850" max="850" width="22.33203125" bestFit="1" customWidth="1"/>
    <col min="851" max="851" width="19.109375" bestFit="1" customWidth="1"/>
    <col min="852" max="852" width="22.33203125" bestFit="1" customWidth="1"/>
    <col min="853" max="853" width="19.109375" bestFit="1" customWidth="1"/>
    <col min="854" max="854" width="22.33203125" bestFit="1" customWidth="1"/>
    <col min="855" max="855" width="19.109375" bestFit="1" customWidth="1"/>
    <col min="856" max="856" width="22.33203125" bestFit="1" customWidth="1"/>
    <col min="857" max="857" width="19.109375" bestFit="1" customWidth="1"/>
    <col min="858" max="858" width="22.33203125" bestFit="1" customWidth="1"/>
    <col min="859" max="859" width="19.109375" bestFit="1" customWidth="1"/>
    <col min="860" max="860" width="22.33203125" bestFit="1" customWidth="1"/>
    <col min="861" max="861" width="19.109375" bestFit="1" customWidth="1"/>
    <col min="862" max="862" width="22.33203125" bestFit="1" customWidth="1"/>
    <col min="863" max="863" width="19.109375" bestFit="1" customWidth="1"/>
    <col min="864" max="864" width="22.33203125" bestFit="1" customWidth="1"/>
    <col min="865" max="865" width="19.109375" bestFit="1" customWidth="1"/>
    <col min="866" max="866" width="22.33203125" bestFit="1" customWidth="1"/>
    <col min="867" max="867" width="19.109375" bestFit="1" customWidth="1"/>
    <col min="868" max="868" width="22.33203125" bestFit="1" customWidth="1"/>
    <col min="869" max="869" width="19.109375" bestFit="1" customWidth="1"/>
    <col min="870" max="870" width="22.33203125" bestFit="1" customWidth="1"/>
    <col min="871" max="871" width="19.109375" bestFit="1" customWidth="1"/>
    <col min="872" max="872" width="22.33203125" bestFit="1" customWidth="1"/>
    <col min="873" max="873" width="19.109375" bestFit="1" customWidth="1"/>
    <col min="874" max="874" width="22.33203125" bestFit="1" customWidth="1"/>
    <col min="875" max="875" width="19.109375" bestFit="1" customWidth="1"/>
    <col min="876" max="876" width="22.33203125" bestFit="1" customWidth="1"/>
    <col min="877" max="877" width="19.109375" bestFit="1" customWidth="1"/>
    <col min="878" max="878" width="22.33203125" bestFit="1" customWidth="1"/>
    <col min="879" max="879" width="19.109375" bestFit="1" customWidth="1"/>
    <col min="880" max="880" width="22.33203125" bestFit="1" customWidth="1"/>
    <col min="881" max="881" width="19.109375" bestFit="1" customWidth="1"/>
    <col min="882" max="882" width="22.33203125" bestFit="1" customWidth="1"/>
    <col min="883" max="883" width="19.109375" bestFit="1" customWidth="1"/>
    <col min="884" max="884" width="22.33203125" bestFit="1" customWidth="1"/>
    <col min="885" max="885" width="19.109375" bestFit="1" customWidth="1"/>
    <col min="886" max="886" width="22.33203125" bestFit="1" customWidth="1"/>
    <col min="887" max="887" width="19.109375" bestFit="1" customWidth="1"/>
    <col min="888" max="888" width="22.33203125" bestFit="1" customWidth="1"/>
    <col min="889" max="889" width="19.109375" bestFit="1" customWidth="1"/>
    <col min="890" max="890" width="22.33203125" bestFit="1" customWidth="1"/>
    <col min="891" max="891" width="19.109375" bestFit="1" customWidth="1"/>
    <col min="892" max="892" width="22.33203125" bestFit="1" customWidth="1"/>
    <col min="893" max="893" width="19.109375" bestFit="1" customWidth="1"/>
    <col min="894" max="894" width="22.33203125" bestFit="1" customWidth="1"/>
    <col min="895" max="895" width="19.109375" bestFit="1" customWidth="1"/>
    <col min="896" max="896" width="22.33203125" bestFit="1" customWidth="1"/>
    <col min="897" max="897" width="19.109375" bestFit="1" customWidth="1"/>
    <col min="898" max="898" width="22.33203125" bestFit="1" customWidth="1"/>
    <col min="899" max="899" width="19.109375" bestFit="1" customWidth="1"/>
    <col min="900" max="900" width="22.33203125" bestFit="1" customWidth="1"/>
    <col min="901" max="901" width="19.109375" bestFit="1" customWidth="1"/>
    <col min="902" max="902" width="22.33203125" bestFit="1" customWidth="1"/>
    <col min="903" max="903" width="19.109375" bestFit="1" customWidth="1"/>
    <col min="904" max="904" width="22.33203125" bestFit="1" customWidth="1"/>
    <col min="905" max="905" width="19.109375" bestFit="1" customWidth="1"/>
    <col min="906" max="906" width="22.33203125" bestFit="1" customWidth="1"/>
    <col min="907" max="907" width="19.109375" bestFit="1" customWidth="1"/>
    <col min="908" max="908" width="22.33203125" bestFit="1" customWidth="1"/>
    <col min="909" max="909" width="19.109375" bestFit="1" customWidth="1"/>
    <col min="910" max="910" width="22.33203125" bestFit="1" customWidth="1"/>
    <col min="911" max="911" width="19.109375" bestFit="1" customWidth="1"/>
    <col min="912" max="912" width="22.33203125" bestFit="1" customWidth="1"/>
    <col min="913" max="913" width="19.109375" bestFit="1" customWidth="1"/>
    <col min="914" max="914" width="22.33203125" bestFit="1" customWidth="1"/>
    <col min="915" max="915" width="19.109375" bestFit="1" customWidth="1"/>
    <col min="916" max="916" width="22.33203125" bestFit="1" customWidth="1"/>
    <col min="917" max="917" width="19.109375" bestFit="1" customWidth="1"/>
    <col min="918" max="918" width="22.33203125" bestFit="1" customWidth="1"/>
    <col min="919" max="919" width="19.109375" bestFit="1" customWidth="1"/>
    <col min="920" max="920" width="22.33203125" bestFit="1" customWidth="1"/>
    <col min="921" max="921" width="19.109375" bestFit="1" customWidth="1"/>
    <col min="922" max="922" width="22.33203125" bestFit="1" customWidth="1"/>
    <col min="923" max="923" width="19.109375" bestFit="1" customWidth="1"/>
    <col min="924" max="924" width="22.33203125" bestFit="1" customWidth="1"/>
    <col min="925" max="925" width="19.109375" bestFit="1" customWidth="1"/>
    <col min="926" max="926" width="22.33203125" bestFit="1" customWidth="1"/>
    <col min="927" max="927" width="19.109375" bestFit="1" customWidth="1"/>
    <col min="928" max="928" width="22.33203125" bestFit="1" customWidth="1"/>
    <col min="929" max="929" width="19.109375" bestFit="1" customWidth="1"/>
    <col min="930" max="930" width="22.33203125" bestFit="1" customWidth="1"/>
    <col min="931" max="931" width="19.109375" bestFit="1" customWidth="1"/>
    <col min="932" max="932" width="22.33203125" bestFit="1" customWidth="1"/>
    <col min="933" max="933" width="19.109375" bestFit="1" customWidth="1"/>
    <col min="934" max="934" width="22.33203125" bestFit="1" customWidth="1"/>
    <col min="935" max="935" width="19.109375" bestFit="1" customWidth="1"/>
    <col min="936" max="936" width="22.33203125" bestFit="1" customWidth="1"/>
    <col min="937" max="937" width="19.109375" bestFit="1" customWidth="1"/>
    <col min="938" max="938" width="22.33203125" bestFit="1" customWidth="1"/>
    <col min="939" max="939" width="19.109375" bestFit="1" customWidth="1"/>
    <col min="940" max="940" width="22.33203125" bestFit="1" customWidth="1"/>
    <col min="941" max="941" width="19.109375" bestFit="1" customWidth="1"/>
    <col min="942" max="942" width="22.33203125" bestFit="1" customWidth="1"/>
    <col min="943" max="943" width="19.109375" bestFit="1" customWidth="1"/>
    <col min="944" max="944" width="22.33203125" bestFit="1" customWidth="1"/>
    <col min="945" max="945" width="19.109375" bestFit="1" customWidth="1"/>
    <col min="946" max="946" width="22.33203125" bestFit="1" customWidth="1"/>
    <col min="947" max="947" width="19.109375" bestFit="1" customWidth="1"/>
    <col min="948" max="948" width="22.33203125" bestFit="1" customWidth="1"/>
    <col min="949" max="949" width="19.109375" bestFit="1" customWidth="1"/>
    <col min="950" max="950" width="22.33203125" bestFit="1" customWidth="1"/>
    <col min="951" max="951" width="19.109375" bestFit="1" customWidth="1"/>
    <col min="952" max="952" width="22.33203125" bestFit="1" customWidth="1"/>
    <col min="953" max="953" width="19.109375" bestFit="1" customWidth="1"/>
    <col min="954" max="954" width="22.33203125" bestFit="1" customWidth="1"/>
    <col min="955" max="955" width="19.109375" bestFit="1" customWidth="1"/>
    <col min="956" max="956" width="22.33203125" bestFit="1" customWidth="1"/>
    <col min="957" max="957" width="19.109375" bestFit="1" customWidth="1"/>
    <col min="958" max="958" width="22.33203125" bestFit="1" customWidth="1"/>
    <col min="959" max="959" width="19.109375" bestFit="1" customWidth="1"/>
    <col min="960" max="960" width="22.33203125" bestFit="1" customWidth="1"/>
    <col min="961" max="961" width="19.109375" bestFit="1" customWidth="1"/>
    <col min="962" max="962" width="22.33203125" bestFit="1" customWidth="1"/>
    <col min="963" max="963" width="19.109375" bestFit="1" customWidth="1"/>
    <col min="964" max="964" width="22.33203125" bestFit="1" customWidth="1"/>
    <col min="965" max="965" width="19.109375" bestFit="1" customWidth="1"/>
    <col min="966" max="966" width="22.33203125" bestFit="1" customWidth="1"/>
    <col min="967" max="967" width="19.109375" bestFit="1" customWidth="1"/>
    <col min="968" max="968" width="22.33203125" bestFit="1" customWidth="1"/>
    <col min="969" max="969" width="19.109375" bestFit="1" customWidth="1"/>
    <col min="970" max="970" width="22.33203125" bestFit="1" customWidth="1"/>
    <col min="971" max="971" width="19.109375" bestFit="1" customWidth="1"/>
    <col min="972" max="972" width="22.33203125" bestFit="1" customWidth="1"/>
    <col min="973" max="973" width="19.109375" bestFit="1" customWidth="1"/>
    <col min="974" max="974" width="22.33203125" bestFit="1" customWidth="1"/>
    <col min="975" max="975" width="19.109375" bestFit="1" customWidth="1"/>
    <col min="976" max="976" width="22.33203125" bestFit="1" customWidth="1"/>
    <col min="977" max="977" width="19.109375" bestFit="1" customWidth="1"/>
    <col min="978" max="978" width="22.33203125" bestFit="1" customWidth="1"/>
    <col min="979" max="979" width="19.109375" bestFit="1" customWidth="1"/>
    <col min="980" max="980" width="22.33203125" bestFit="1" customWidth="1"/>
    <col min="981" max="981" width="19.109375" bestFit="1" customWidth="1"/>
    <col min="982" max="982" width="22.33203125" bestFit="1" customWidth="1"/>
    <col min="983" max="983" width="19.109375" bestFit="1" customWidth="1"/>
    <col min="984" max="984" width="22.33203125" bestFit="1" customWidth="1"/>
    <col min="985" max="985" width="19.109375" bestFit="1" customWidth="1"/>
    <col min="986" max="986" width="22.33203125" bestFit="1" customWidth="1"/>
    <col min="987" max="987" width="19.109375" bestFit="1" customWidth="1"/>
    <col min="988" max="988" width="22.33203125" bestFit="1" customWidth="1"/>
    <col min="989" max="989" width="19.109375" bestFit="1" customWidth="1"/>
    <col min="990" max="990" width="22.33203125" bestFit="1" customWidth="1"/>
    <col min="991" max="991" width="19.109375" bestFit="1" customWidth="1"/>
    <col min="992" max="992" width="22.33203125" bestFit="1" customWidth="1"/>
    <col min="993" max="993" width="19.109375" bestFit="1" customWidth="1"/>
    <col min="994" max="994" width="22.33203125" bestFit="1" customWidth="1"/>
    <col min="995" max="995" width="19.109375" bestFit="1" customWidth="1"/>
    <col min="996" max="996" width="22.33203125" bestFit="1" customWidth="1"/>
    <col min="997" max="997" width="19.109375" bestFit="1" customWidth="1"/>
    <col min="998" max="998" width="22.33203125" bestFit="1" customWidth="1"/>
    <col min="999" max="999" width="19.109375" bestFit="1" customWidth="1"/>
    <col min="1000" max="1000" width="28.44140625" bestFit="1" customWidth="1"/>
    <col min="1001" max="1001" width="25.21875" bestFit="1" customWidth="1"/>
  </cols>
  <sheetData>
    <row r="1" spans="1:4" x14ac:dyDescent="0.3">
      <c r="A1" s="14" t="s">
        <v>37</v>
      </c>
      <c r="B1" t="s">
        <v>39</v>
      </c>
      <c r="C1" t="s">
        <v>41</v>
      </c>
      <c r="D1" t="s">
        <v>40</v>
      </c>
    </row>
    <row r="2" spans="1:4" x14ac:dyDescent="0.3">
      <c r="A2" s="15" t="s">
        <v>17</v>
      </c>
      <c r="B2" s="16">
        <v>1018044.99</v>
      </c>
      <c r="C2" s="16">
        <v>174737.28</v>
      </c>
      <c r="D2" s="16">
        <v>679</v>
      </c>
    </row>
    <row r="3" spans="1:4" x14ac:dyDescent="0.3">
      <c r="A3" s="15" t="s">
        <v>14</v>
      </c>
      <c r="B3" s="16">
        <v>1005457.8200000001</v>
      </c>
      <c r="C3" s="16">
        <v>170757.98000000019</v>
      </c>
      <c r="D3" s="16">
        <v>712</v>
      </c>
    </row>
    <row r="4" spans="1:4" x14ac:dyDescent="0.3">
      <c r="A4" s="15" t="s">
        <v>16</v>
      </c>
      <c r="B4" s="16">
        <v>986924.26000000036</v>
      </c>
      <c r="C4" s="16">
        <v>174405.54999999996</v>
      </c>
      <c r="D4" s="16">
        <v>638</v>
      </c>
    </row>
    <row r="5" spans="1:4" x14ac:dyDescent="0.3">
      <c r="A5" s="15" t="s">
        <v>15</v>
      </c>
      <c r="B5" s="16">
        <v>936016.72999999986</v>
      </c>
      <c r="C5" s="16">
        <v>165796.36000000013</v>
      </c>
      <c r="D5" s="16">
        <v>674</v>
      </c>
    </row>
    <row r="6" spans="1:4" x14ac:dyDescent="0.3">
      <c r="A6" s="15" t="s">
        <v>38</v>
      </c>
      <c r="B6" s="16">
        <v>3946443.8000000007</v>
      </c>
      <c r="C6" s="16">
        <v>685697.17000000027</v>
      </c>
      <c r="D6" s="16">
        <v>2703</v>
      </c>
    </row>
    <row r="9" spans="1:4" x14ac:dyDescent="0.3">
      <c r="A9" s="14" t="s">
        <v>37</v>
      </c>
      <c r="B9" t="s">
        <v>39</v>
      </c>
      <c r="C9" t="s">
        <v>41</v>
      </c>
      <c r="D9" t="s">
        <v>40</v>
      </c>
    </row>
    <row r="10" spans="1:4" x14ac:dyDescent="0.3">
      <c r="A10" s="15" t="s">
        <v>28</v>
      </c>
      <c r="B10" s="16">
        <v>554595.55999999994</v>
      </c>
      <c r="C10" s="16">
        <v>93196.550000000076</v>
      </c>
      <c r="D10" s="16">
        <v>351</v>
      </c>
    </row>
    <row r="11" spans="1:4" x14ac:dyDescent="0.3">
      <c r="A11" s="15" t="s">
        <v>27</v>
      </c>
      <c r="B11" s="16">
        <v>463449.42999999993</v>
      </c>
      <c r="C11" s="16">
        <v>81540.73</v>
      </c>
      <c r="D11" s="16">
        <v>328</v>
      </c>
    </row>
    <row r="12" spans="1:4" x14ac:dyDescent="0.3">
      <c r="A12" s="15" t="s">
        <v>25</v>
      </c>
      <c r="B12" s="16">
        <v>380140.76000000013</v>
      </c>
      <c r="C12" s="16">
        <v>69235.27</v>
      </c>
      <c r="D12" s="16">
        <v>255</v>
      </c>
    </row>
    <row r="13" spans="1:4" x14ac:dyDescent="0.3">
      <c r="A13" s="15" t="s">
        <v>26</v>
      </c>
      <c r="B13" s="16">
        <v>341001.69</v>
      </c>
      <c r="C13" s="16">
        <v>58646.330000000009</v>
      </c>
      <c r="D13" s="16">
        <v>206</v>
      </c>
    </row>
    <row r="14" spans="1:4" x14ac:dyDescent="0.3">
      <c r="A14" s="15" t="s">
        <v>20</v>
      </c>
      <c r="B14" s="16">
        <v>314186.14000000013</v>
      </c>
      <c r="C14" s="16">
        <v>53006.399999999994</v>
      </c>
      <c r="D14" s="16">
        <v>215</v>
      </c>
    </row>
    <row r="15" spans="1:4" x14ac:dyDescent="0.3">
      <c r="A15" s="15" t="s">
        <v>18</v>
      </c>
      <c r="B15" s="16">
        <v>289562.77</v>
      </c>
      <c r="C15" s="16">
        <v>47628.83</v>
      </c>
      <c r="D15" s="16">
        <v>208</v>
      </c>
    </row>
    <row r="16" spans="1:4" x14ac:dyDescent="0.3">
      <c r="A16" s="15" t="s">
        <v>30</v>
      </c>
      <c r="B16" s="16">
        <v>276325.01999999996</v>
      </c>
      <c r="C16" s="16">
        <v>47863.54</v>
      </c>
      <c r="D16" s="16">
        <v>180</v>
      </c>
    </row>
    <row r="17" spans="1:5" x14ac:dyDescent="0.3">
      <c r="A17" s="15" t="s">
        <v>29</v>
      </c>
      <c r="B17" s="16">
        <v>265781.81</v>
      </c>
      <c r="C17" s="16">
        <v>46523.950000000012</v>
      </c>
      <c r="D17" s="16">
        <v>177</v>
      </c>
    </row>
    <row r="18" spans="1:5" x14ac:dyDescent="0.3">
      <c r="A18" s="15" t="s">
        <v>19</v>
      </c>
      <c r="B18" s="16">
        <v>258363.69</v>
      </c>
      <c r="C18" s="16">
        <v>45107.829999999994</v>
      </c>
      <c r="D18" s="16">
        <v>184</v>
      </c>
    </row>
    <row r="19" spans="1:5" x14ac:dyDescent="0.3">
      <c r="A19" s="15" t="s">
        <v>22</v>
      </c>
      <c r="B19" s="16">
        <v>246639.70000000004</v>
      </c>
      <c r="C19" s="16">
        <v>43900.86</v>
      </c>
      <c r="D19" s="16">
        <v>165</v>
      </c>
    </row>
    <row r="20" spans="1:5" x14ac:dyDescent="0.3">
      <c r="A20" s="15" t="s">
        <v>24</v>
      </c>
      <c r="B20" s="16">
        <v>214633.16999999998</v>
      </c>
      <c r="C20" s="16">
        <v>39867.720000000008</v>
      </c>
      <c r="D20" s="16">
        <v>160</v>
      </c>
    </row>
    <row r="21" spans="1:5" x14ac:dyDescent="0.3">
      <c r="A21" s="15" t="s">
        <v>23</v>
      </c>
      <c r="B21" s="16">
        <v>198418.84</v>
      </c>
      <c r="C21" s="16">
        <v>34164.240000000005</v>
      </c>
      <c r="D21" s="16">
        <v>169</v>
      </c>
    </row>
    <row r="22" spans="1:5" x14ac:dyDescent="0.3">
      <c r="A22" s="15" t="s">
        <v>21</v>
      </c>
      <c r="B22" s="16">
        <v>143345.22</v>
      </c>
      <c r="C22" s="16">
        <v>25014.920000000002</v>
      </c>
      <c r="D22" s="16">
        <v>105</v>
      </c>
    </row>
    <row r="23" spans="1:5" x14ac:dyDescent="0.3">
      <c r="A23" s="15" t="s">
        <v>38</v>
      </c>
      <c r="B23" s="16">
        <v>3946443.8000000003</v>
      </c>
      <c r="C23" s="16">
        <v>685697.17</v>
      </c>
      <c r="D23" s="16">
        <v>2703</v>
      </c>
    </row>
    <row r="26" spans="1:5" x14ac:dyDescent="0.3">
      <c r="A26" s="14" t="s">
        <v>37</v>
      </c>
      <c r="B26" t="s">
        <v>39</v>
      </c>
      <c r="C26" t="s">
        <v>41</v>
      </c>
      <c r="D26" t="s">
        <v>40</v>
      </c>
      <c r="E26" t="s">
        <v>42</v>
      </c>
    </row>
    <row r="27" spans="1:5" x14ac:dyDescent="0.3">
      <c r="A27" s="15" t="s">
        <v>8</v>
      </c>
      <c r="B27" s="16">
        <v>572189.14999999991</v>
      </c>
      <c r="C27" s="16">
        <v>101777.09999999998</v>
      </c>
      <c r="D27" s="16">
        <v>402</v>
      </c>
      <c r="E27" s="16">
        <v>76</v>
      </c>
    </row>
    <row r="28" spans="1:5" x14ac:dyDescent="0.3">
      <c r="A28" s="15" t="s">
        <v>13</v>
      </c>
      <c r="B28" s="16">
        <v>700563.69</v>
      </c>
      <c r="C28" s="16">
        <v>123297.00000000003</v>
      </c>
      <c r="D28" s="16">
        <v>446</v>
      </c>
      <c r="E28" s="16">
        <v>81</v>
      </c>
    </row>
    <row r="29" spans="1:5" x14ac:dyDescent="0.3">
      <c r="A29" s="15" t="s">
        <v>10</v>
      </c>
      <c r="B29" s="16">
        <v>666603.85999999964</v>
      </c>
      <c r="C29" s="16">
        <v>114781.80000000002</v>
      </c>
      <c r="D29" s="16">
        <v>521</v>
      </c>
      <c r="E29" s="16">
        <v>88</v>
      </c>
    </row>
    <row r="30" spans="1:5" x14ac:dyDescent="0.3">
      <c r="A30" s="15" t="s">
        <v>9</v>
      </c>
      <c r="B30" s="16">
        <v>687090.28999999992</v>
      </c>
      <c r="C30" s="16">
        <v>119392.78999999996</v>
      </c>
      <c r="D30" s="16">
        <v>488</v>
      </c>
      <c r="E30" s="16">
        <v>94</v>
      </c>
    </row>
    <row r="31" spans="1:5" x14ac:dyDescent="0.3">
      <c r="A31" s="15" t="s">
        <v>11</v>
      </c>
      <c r="B31" s="16">
        <v>775312.47000000055</v>
      </c>
      <c r="C31" s="16">
        <v>137070.65000000005</v>
      </c>
      <c r="D31" s="16">
        <v>485</v>
      </c>
      <c r="E31" s="16">
        <v>91</v>
      </c>
    </row>
    <row r="32" spans="1:5" x14ac:dyDescent="0.3">
      <c r="A32" s="15" t="s">
        <v>12</v>
      </c>
      <c r="B32" s="16">
        <v>544684.34</v>
      </c>
      <c r="C32" s="16">
        <v>89377.830000000031</v>
      </c>
      <c r="D32" s="16">
        <v>361</v>
      </c>
      <c r="E32" s="16">
        <v>70</v>
      </c>
    </row>
    <row r="33" spans="1:5" x14ac:dyDescent="0.3">
      <c r="A33" s="15" t="s">
        <v>38</v>
      </c>
      <c r="B33" s="16">
        <v>3946443.7999999984</v>
      </c>
      <c r="C33" s="16">
        <v>685697.16999999923</v>
      </c>
      <c r="D33" s="16">
        <v>2703</v>
      </c>
      <c r="E33" s="16">
        <v>500</v>
      </c>
    </row>
    <row r="36" spans="1:5" x14ac:dyDescent="0.3">
      <c r="A36" s="14" t="s">
        <v>37</v>
      </c>
      <c r="B36" t="s">
        <v>39</v>
      </c>
      <c r="C36" t="s">
        <v>41</v>
      </c>
      <c r="D36" t="s">
        <v>42</v>
      </c>
    </row>
    <row r="37" spans="1:5" x14ac:dyDescent="0.3">
      <c r="A37" s="15" t="s">
        <v>49</v>
      </c>
      <c r="B37" s="16">
        <v>3946443.7999999975</v>
      </c>
      <c r="C37" s="16">
        <v>685697.16999999981</v>
      </c>
      <c r="D37" s="16">
        <v>500</v>
      </c>
    </row>
    <row r="38" spans="1:5" x14ac:dyDescent="0.3">
      <c r="A38" s="17" t="s">
        <v>43</v>
      </c>
      <c r="B38" s="16">
        <v>602898.66999999981</v>
      </c>
      <c r="C38" s="16">
        <v>106257.34</v>
      </c>
      <c r="D38" s="16">
        <v>79</v>
      </c>
    </row>
    <row r="39" spans="1:5" x14ac:dyDescent="0.3">
      <c r="A39" s="17" t="s">
        <v>44</v>
      </c>
      <c r="B39" s="16">
        <v>655517.68999999971</v>
      </c>
      <c r="C39" s="16">
        <v>109966.14000000006</v>
      </c>
      <c r="D39" s="16">
        <v>82</v>
      </c>
    </row>
    <row r="40" spans="1:5" x14ac:dyDescent="0.3">
      <c r="A40" s="17" t="s">
        <v>45</v>
      </c>
      <c r="B40" s="16">
        <v>696984.52</v>
      </c>
      <c r="C40" s="16">
        <v>123579.80000000008</v>
      </c>
      <c r="D40" s="16">
        <v>94</v>
      </c>
    </row>
    <row r="41" spans="1:5" x14ac:dyDescent="0.3">
      <c r="A41" s="17" t="s">
        <v>46</v>
      </c>
      <c r="B41" s="16">
        <v>836012.88000000024</v>
      </c>
      <c r="C41" s="16">
        <v>143610.67000000004</v>
      </c>
      <c r="D41" s="16">
        <v>93</v>
      </c>
    </row>
    <row r="42" spans="1:5" x14ac:dyDescent="0.3">
      <c r="A42" s="17" t="s">
        <v>47</v>
      </c>
      <c r="B42" s="16">
        <v>719357.41000000015</v>
      </c>
      <c r="C42" s="16">
        <v>125040.78000000001</v>
      </c>
      <c r="D42" s="16">
        <v>92</v>
      </c>
    </row>
    <row r="43" spans="1:5" x14ac:dyDescent="0.3">
      <c r="A43" s="17" t="s">
        <v>48</v>
      </c>
      <c r="B43" s="16">
        <v>435672.63000000018</v>
      </c>
      <c r="C43" s="16">
        <v>77242.44</v>
      </c>
      <c r="D43" s="16">
        <v>60</v>
      </c>
    </row>
    <row r="44" spans="1:5" x14ac:dyDescent="0.3">
      <c r="A44" s="15" t="s">
        <v>38</v>
      </c>
      <c r="B44" s="16">
        <v>3946443.7999999975</v>
      </c>
      <c r="C44" s="16">
        <v>685697.16999999981</v>
      </c>
      <c r="D44" s="16">
        <v>500</v>
      </c>
    </row>
    <row r="47" spans="1:5" x14ac:dyDescent="0.3">
      <c r="A47" s="14" t="s">
        <v>37</v>
      </c>
      <c r="B47" t="s">
        <v>39</v>
      </c>
      <c r="C47" t="s">
        <v>41</v>
      </c>
      <c r="D47" t="s">
        <v>42</v>
      </c>
    </row>
    <row r="48" spans="1:5" x14ac:dyDescent="0.3">
      <c r="A48" s="15" t="s">
        <v>51</v>
      </c>
      <c r="B48" s="16">
        <v>502976.38999999996</v>
      </c>
      <c r="C48" s="16">
        <v>88448.52</v>
      </c>
      <c r="D48" s="16">
        <v>68</v>
      </c>
    </row>
    <row r="49" spans="1:4" x14ac:dyDescent="0.3">
      <c r="A49" s="15" t="s">
        <v>52</v>
      </c>
      <c r="B49" s="16">
        <v>610476.93000000017</v>
      </c>
      <c r="C49" s="16">
        <v>105218.83</v>
      </c>
      <c r="D49" s="16">
        <v>71</v>
      </c>
    </row>
    <row r="50" spans="1:4" x14ac:dyDescent="0.3">
      <c r="A50" s="15" t="s">
        <v>53</v>
      </c>
      <c r="B50" s="16">
        <v>520016.77999999985</v>
      </c>
      <c r="C50" s="16">
        <v>92965.3</v>
      </c>
      <c r="D50" s="16">
        <v>73</v>
      </c>
    </row>
    <row r="51" spans="1:4" x14ac:dyDescent="0.3">
      <c r="A51" s="15" t="s">
        <v>54</v>
      </c>
      <c r="B51" s="16">
        <v>551434.57000000007</v>
      </c>
      <c r="C51" s="16">
        <v>93794.76999999999</v>
      </c>
      <c r="D51" s="16">
        <v>65</v>
      </c>
    </row>
    <row r="52" spans="1:4" x14ac:dyDescent="0.3">
      <c r="A52" s="15" t="s">
        <v>55</v>
      </c>
      <c r="B52" s="16">
        <v>638963.55999999994</v>
      </c>
      <c r="C52" s="16">
        <v>108696.79999999997</v>
      </c>
      <c r="D52" s="16">
        <v>79</v>
      </c>
    </row>
    <row r="53" spans="1:4" x14ac:dyDescent="0.3">
      <c r="A53" s="15" t="s">
        <v>56</v>
      </c>
      <c r="B53" s="16">
        <v>625719.81000000017</v>
      </c>
      <c r="C53" s="16">
        <v>109626.9</v>
      </c>
      <c r="D53" s="16">
        <v>78</v>
      </c>
    </row>
    <row r="54" spans="1:4" x14ac:dyDescent="0.3">
      <c r="A54" s="15" t="s">
        <v>57</v>
      </c>
      <c r="B54" s="16">
        <v>496855.76</v>
      </c>
      <c r="C54" s="16">
        <v>86946.049999999988</v>
      </c>
      <c r="D54" s="16">
        <v>66</v>
      </c>
    </row>
    <row r="55" spans="1:4" x14ac:dyDescent="0.3">
      <c r="A55" s="15" t="s">
        <v>38</v>
      </c>
      <c r="B55" s="16">
        <v>3946443.7999999984</v>
      </c>
      <c r="C55" s="16">
        <v>685697.16999999993</v>
      </c>
      <c r="D55" s="16">
        <v>500</v>
      </c>
    </row>
  </sheetData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Calculations</vt:lpstr>
      <vt:lpstr>Pivot_Analysis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emelokwujustin@gmail.com</cp:lastModifiedBy>
  <dcterms:created xsi:type="dcterms:W3CDTF">2025-05-20T17:18:55Z</dcterms:created>
  <dcterms:modified xsi:type="dcterms:W3CDTF">2026-09-24T12:17:58Z</dcterms:modified>
</cp:coreProperties>
</file>